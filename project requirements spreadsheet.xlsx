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
    </mc:Choice>
  </mc:AlternateContent>
  <xr:revisionPtr revIDLastSave="0" documentId="13_ncr:1_{7444EF99-CFC3-4F27-AEF9-1A3E76CB8983}" xr6:coauthVersionLast="47" xr6:coauthVersionMax="47" xr10:uidLastSave="{00000000-0000-0000-0000-000000000000}"/>
  <bookViews>
    <workbookView xWindow="-108" yWindow="-108" windowWidth="23256" windowHeight="1269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 l="1"/>
  <c r="E72" i="1" s="1"/>
  <c r="G72" i="1" s="1"/>
  <c r="B73" i="1"/>
  <c r="B57" i="1"/>
  <c r="G54" i="1"/>
  <c r="B58" i="1"/>
  <c r="A58" i="1" s="1"/>
  <c r="F50" i="1"/>
  <c r="G50" i="1" s="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6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A72" i="1" l="1"/>
  <c r="L72" i="1"/>
  <c r="G57" i="1"/>
  <c r="G58" i="1"/>
  <c r="D62" i="1"/>
  <c r="D63" i="1" s="1"/>
  <c r="D68" i="1" s="1"/>
  <c r="A59" i="1"/>
  <c r="A60" i="1" s="1"/>
  <c r="A61" i="1" s="1"/>
  <c r="D69" i="1" l="1"/>
  <c r="D70" i="1" s="1"/>
  <c r="D64" i="1"/>
  <c r="L63" i="1"/>
  <c r="L68" i="1" s="1"/>
  <c r="L69" i="1" s="1"/>
  <c r="A62" i="1"/>
  <c r="A63" i="1" s="1"/>
  <c r="A68" i="1" s="1"/>
  <c r="G59" i="1"/>
  <c r="E60" i="1"/>
  <c r="D71" i="1" l="1"/>
  <c r="L70" i="1"/>
  <c r="A69" i="1"/>
  <c r="A64" i="1" s="1"/>
  <c r="L64" i="1"/>
  <c r="D65" i="1"/>
  <c r="G60" i="1"/>
  <c r="E61" i="1"/>
  <c r="A70" i="1" l="1"/>
  <c r="A71" i="1" s="1"/>
  <c r="A73" i="1" s="1"/>
  <c r="L71" i="1"/>
  <c r="A65" i="1"/>
  <c r="D66" i="1"/>
  <c r="L65" i="1"/>
  <c r="G61" i="1"/>
  <c r="E62" i="1"/>
  <c r="A66" i="1" l="1"/>
  <c r="D67" i="1"/>
  <c r="L66" i="1"/>
  <c r="G62" i="1"/>
  <c r="E63" i="1"/>
  <c r="G73" i="1"/>
  <c r="G63" i="1" l="1"/>
  <c r="E68" i="1"/>
  <c r="A67" i="1"/>
  <c r="L67" i="1"/>
  <c r="G68" i="1" l="1"/>
  <c r="E69" i="1"/>
  <c r="A57" i="1"/>
  <c r="G69" i="1" l="1"/>
  <c r="E64" i="1"/>
  <c r="E70" i="1"/>
  <c r="G70" i="1" l="1"/>
  <c r="E71" i="1"/>
  <c r="G71" i="1" s="1"/>
  <c r="G64" i="1"/>
  <c r="E65" i="1"/>
  <c r="G65" i="1" l="1"/>
  <c r="E66" i="1"/>
  <c r="G66" i="1" l="1"/>
  <c r="E67" i="1"/>
  <c r="G67" i="1" s="1"/>
</calcChain>
</file>

<file path=xl/sharedStrings.xml><?xml version="1.0" encoding="utf-8"?>
<sst xmlns="http://schemas.openxmlformats.org/spreadsheetml/2006/main" count="230" uniqueCount="119">
  <si>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</si>
  <si>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</si>
  <si>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</si>
  <si>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</si>
  <si>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</si>
  <si>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</si>
  <si>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</si>
  <si>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</si>
  <si>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</si>
  <si>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</si>
  <si>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</si>
  <si>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</si>
  <si>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</si>
  <si>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</si>
  <si>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</si>
  <si>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</si>
  <si>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</si>
  <si>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</si>
  <si>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</si>
  <si>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</si>
  <si>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</si>
  <si>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</si>
  <si>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</si>
  <si>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</si>
  <si>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</si>
  <si>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</si>
  <si>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</si>
  <si>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</si>
  <si>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</si>
  <si>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</si>
  <si>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</si>
  <si>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</si>
  <si>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</si>
  <si>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</si>
  <si>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</si>
  <si>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</si>
  <si>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</si>
  <si>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</si>
  <si>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</si>
  <si>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</si>
  <si>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</si>
  <si>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</si>
  <si>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</si>
  <si>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</si>
  <si>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</si>
  <si>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</si>
  <si>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</si>
  <si>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</si>
  <si>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</si>
  <si>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</si>
  <si>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</si>
  <si>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</si>
  <si>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</si>
  <si>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</si>
  <si>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</si>
  <si>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</si>
  <si>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</si>
  <si>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</si>
  <si>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</si>
  <si>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</si>
  <si>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</si>
  <si>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</si>
  <si>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</si>
  <si>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</si>
  <si>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</si>
  <si>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</si>
  <si>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</si>
  <si>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</si>
  <si>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</si>
  <si>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</si>
  <si>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</si>
  <si>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</si>
  <si>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</si>
  <si>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</si>
  <si>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</si>
  <si>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</si>
  <si>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</si>
  <si>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</si>
  <si>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</si>
  <si>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</si>
  <si>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</si>
  <si>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</si>
  <si>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</si>
  <si>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</si>
  <si>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</si>
  <si>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</si>
  <si>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</si>
  <si>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</si>
  <si>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</si>
  <si>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</si>
  <si>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</si>
  <si>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</si>
  <si>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</si>
  <si>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</si>
  <si>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</si>
  <si>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</si>
  <si>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</si>
  <si>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</si>
  <si>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</si>
  <si>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</si>
  <si>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</si>
  <si>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</si>
  <si>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</si>
  <si>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</si>
  <si>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</si>
  <si>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</si>
  <si>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</si>
  <si>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</si>
  <si>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</si>
  <si>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</si>
  <si>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</si>
  <si>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</si>
  <si>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Generate Gameplay Test Document</t>
  </si>
  <si>
    <t>S Welton / J Hong</t>
  </si>
  <si>
    <t>Add Reset Counter to Start() methods for puzzles</t>
  </si>
  <si>
    <t>*(If time) Break Puzzles into Clue Items so passwords arent provided with puzzle</t>
  </si>
  <si>
    <t>*(If Time) Doors locking.unliocking</t>
  </si>
  <si>
    <t>Start Dev Document</t>
  </si>
  <si>
    <t>Intro/Outro Text Display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</si>
</sst>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2"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1">
    <xf numFmtId="0" fontId="0" fillId="0" borderId="0"/>
  </cellStyleXfs>
  <cellXfs count="91">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top"/>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0" borderId="0" xfId="0" applyFont="1" applyAlignment="1">
      <alignment horizontal="center" vertical="center"/>
    </xf>
    <xf numFmtId="0" fontId="3" fillId="4" borderId="0" xfId="0" applyFont="1" applyFill="1" applyAlignment="1">
      <alignment horizontal="center" vertical="center" wrapText="1"/>
    </xf>
    <xf numFmtId="0" fontId="4"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65" activePane="bottomRight" state="frozen"/>
      <selection pane="topRight" activeCell="C1" sqref="C1"/>
      <selection pane="bottomLeft" activeCell="A14" sqref="A14"/>
      <selection pane="bottomRight" activeCell="B73" sqref="B73"/>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6.44140625" style="6" customWidth="1"/>
    <col min="13" max="13" width="173.77734375" style="24" customWidth="1"/>
    <col min="14" max="16384" width="9.109375" style="13"/>
  </cols>
  <sheetData>
    <row r="1" spans="1:13" s="31" customFormat="1" ht="18.75" customHeight="1" x14ac:dyDescent="0.3">
      <c r="A1" s="81" t="s">
        <v>90</v>
      </c>
      <c r="B1" s="82"/>
      <c r="C1" s="28"/>
      <c r="D1" s="87" t="s">
        <v>91</v>
      </c>
      <c r="E1" s="87"/>
      <c r="F1" s="87"/>
      <c r="G1" s="87"/>
      <c r="H1" s="87"/>
      <c r="I1" s="87"/>
      <c r="J1" s="87"/>
      <c r="K1" s="87"/>
      <c r="L1" s="28"/>
      <c r="M1" s="30"/>
    </row>
    <row r="2" spans="1:13" s="31" customFormat="1" ht="18" x14ac:dyDescent="0.3">
      <c r="A2" s="83" t="s">
        <v>0</v>
      </c>
      <c r="B2" s="84"/>
      <c r="C2" s="28"/>
      <c r="D2" s="87"/>
      <c r="E2" s="87"/>
      <c r="F2" s="87"/>
      <c r="G2" s="87"/>
      <c r="H2" s="87"/>
      <c r="I2" s="87"/>
      <c r="J2" s="87"/>
      <c r="K2" s="87"/>
    </row>
    <row r="3" spans="1:13" x14ac:dyDescent="0.3">
      <c r="A3" s="51"/>
      <c r="B3" s="38"/>
      <c r="C3" s="13"/>
      <c r="D3" s="87"/>
      <c r="E3" s="87"/>
      <c r="F3" s="87"/>
      <c r="G3" s="87"/>
      <c r="H3" s="87"/>
      <c r="I3" s="87"/>
      <c r="J3" s="87"/>
      <c r="K3" s="87"/>
      <c r="L3" s="13"/>
      <c r="M3" s="13"/>
    </row>
    <row r="4" spans="1:13" s="7" customFormat="1" ht="15.6" x14ac:dyDescent="0.3">
      <c r="A4" s="52" t="s">
        <v>17</v>
      </c>
      <c r="B4" s="39" t="s">
        <v>41</v>
      </c>
      <c r="D4" s="87"/>
      <c r="E4" s="87"/>
      <c r="F4" s="87"/>
      <c r="G4" s="87"/>
      <c r="H4" s="87"/>
      <c r="I4" s="87"/>
      <c r="J4" s="87"/>
      <c r="K4" s="87"/>
    </row>
    <row r="5" spans="1:13" s="7" customFormat="1" ht="15.6" x14ac:dyDescent="0.3">
      <c r="A5" s="52" t="s">
        <v>18</v>
      </c>
      <c r="B5" s="39" t="s">
        <v>42</v>
      </c>
      <c r="D5" s="87"/>
      <c r="E5" s="87"/>
      <c r="F5" s="87"/>
      <c r="G5" s="87"/>
      <c r="H5" s="87"/>
      <c r="I5" s="87"/>
      <c r="J5" s="87"/>
      <c r="K5" s="87"/>
    </row>
    <row r="6" spans="1:13" s="7" customFormat="1" ht="16.2" thickBot="1" x14ac:dyDescent="0.35">
      <c r="A6" s="53" t="s">
        <v>19</v>
      </c>
      <c r="B6" s="40" t="s">
        <v>89</v>
      </c>
      <c r="D6" s="87"/>
      <c r="E6" s="87"/>
      <c r="F6" s="87"/>
      <c r="G6" s="87"/>
      <c r="H6" s="87"/>
      <c r="I6" s="87"/>
      <c r="J6" s="87"/>
      <c r="K6" s="87"/>
      <c r="L6" s="1"/>
      <c r="M6" s="32"/>
    </row>
    <row r="7" spans="1:13" s="7" customFormat="1" ht="15.6" x14ac:dyDescent="0.3">
      <c r="A7" s="54"/>
      <c r="B7" s="2"/>
      <c r="C7" s="1"/>
      <c r="D7" s="1"/>
      <c r="E7" s="1"/>
      <c r="F7" s="1"/>
      <c r="G7" s="1"/>
      <c r="H7" s="1"/>
      <c r="I7" s="1"/>
      <c r="J7" s="1"/>
      <c r="K7" s="1"/>
      <c r="L7" s="1"/>
      <c r="M7" s="32"/>
    </row>
    <row r="8" spans="1:13" s="7" customFormat="1" ht="15.6" x14ac:dyDescent="0.3">
      <c r="A8" s="88" t="s">
        <v>16</v>
      </c>
      <c r="B8" s="88"/>
      <c r="C8" s="88"/>
      <c r="D8" s="88"/>
      <c r="E8" s="88"/>
      <c r="F8" s="88"/>
      <c r="G8" s="88"/>
      <c r="H8" s="88"/>
      <c r="I8" s="88"/>
      <c r="J8" s="88"/>
      <c r="K8" s="88"/>
      <c r="L8" s="88"/>
      <c r="M8" s="88"/>
    </row>
    <row r="9" spans="1:13" s="7" customFormat="1" ht="15.6" x14ac:dyDescent="0.3">
      <c r="A9" s="1"/>
      <c r="B9" s="2"/>
      <c r="C9" s="88" t="s">
        <v>15</v>
      </c>
      <c r="D9" s="88"/>
      <c r="E9" s="88"/>
      <c r="F9" s="88"/>
      <c r="G9" s="1"/>
      <c r="H9" s="88" t="s">
        <v>7</v>
      </c>
      <c r="I9" s="88"/>
      <c r="J9" s="88"/>
      <c r="K9" s="88"/>
      <c r="L9" s="89" t="s">
        <v>20</v>
      </c>
      <c r="M9" s="90" t="s">
        <v>22</v>
      </c>
    </row>
    <row r="10" spans="1:13" s="7" customFormat="1" ht="15.45" customHeight="1" x14ac:dyDescent="0.3">
      <c r="A10" s="1"/>
      <c r="B10" s="2"/>
      <c r="C10" s="78" t="s">
        <v>21</v>
      </c>
      <c r="D10" s="1"/>
      <c r="E10" s="78" t="s">
        <v>58</v>
      </c>
      <c r="F10" s="78" t="s">
        <v>59</v>
      </c>
      <c r="G10" s="78" t="s">
        <v>60</v>
      </c>
      <c r="H10" s="78" t="s">
        <v>4</v>
      </c>
      <c r="I10" s="78" t="s">
        <v>21</v>
      </c>
      <c r="J10" s="78" t="s">
        <v>5</v>
      </c>
      <c r="K10" s="1"/>
      <c r="L10" s="89"/>
      <c r="M10" s="90"/>
    </row>
    <row r="11" spans="1:13" s="7" customFormat="1" ht="16.2" thickBot="1" x14ac:dyDescent="0.35">
      <c r="A11" s="1" t="s">
        <v>1</v>
      </c>
      <c r="B11" s="4" t="s">
        <v>2</v>
      </c>
      <c r="C11" s="78"/>
      <c r="D11" s="1" t="s">
        <v>3</v>
      </c>
      <c r="E11" s="78"/>
      <c r="F11" s="78"/>
      <c r="G11" s="78"/>
      <c r="H11" s="78"/>
      <c r="I11" s="78"/>
      <c r="J11" s="78"/>
      <c r="K11" s="29" t="s">
        <v>6</v>
      </c>
      <c r="L11" s="89"/>
      <c r="M11" s="90"/>
    </row>
    <row r="12" spans="1:13" s="67" customFormat="1" ht="45" hidden="1" x14ac:dyDescent="0.3">
      <c r="A12" s="85" t="s">
        <v>40</v>
      </c>
      <c r="B12" s="62"/>
      <c r="C12" s="20" t="s">
        <v>14</v>
      </c>
      <c r="D12" s="20" t="s">
        <v>9</v>
      </c>
      <c r="E12" s="20"/>
      <c r="F12" s="63" t="s">
        <v>11</v>
      </c>
      <c r="G12" s="20"/>
      <c r="H12" s="20" t="s">
        <v>8</v>
      </c>
      <c r="I12" s="64"/>
      <c r="J12" s="64"/>
      <c r="K12" s="20" t="s">
        <v>13</v>
      </c>
      <c r="L12" s="65"/>
      <c r="M12" s="66"/>
    </row>
    <row r="13" spans="1:13" s="3" customFormat="1" ht="61.5" hidden="1" customHeight="1" thickBot="1" x14ac:dyDescent="0.35">
      <c r="A13" s="86"/>
      <c r="B13" s="8"/>
      <c r="C13" s="10"/>
      <c r="D13" s="10" t="s">
        <v>10</v>
      </c>
      <c r="E13" s="10"/>
      <c r="F13" s="34" t="s">
        <v>12</v>
      </c>
      <c r="G13" s="10"/>
      <c r="H13" s="26" t="s">
        <v>43</v>
      </c>
      <c r="I13" s="8"/>
      <c r="J13" s="8"/>
      <c r="K13" s="10"/>
      <c r="L13" s="11"/>
      <c r="M13" s="35"/>
    </row>
    <row r="14" spans="1:13" s="22" customFormat="1" x14ac:dyDescent="0.3">
      <c r="A14" s="55">
        <v>0</v>
      </c>
      <c r="B14" s="19" t="s">
        <v>71</v>
      </c>
      <c r="C14" s="20" t="s">
        <v>37</v>
      </c>
      <c r="D14" s="20" t="s">
        <v>47</v>
      </c>
      <c r="E14" s="21">
        <v>45566</v>
      </c>
      <c r="F14" s="21">
        <v>45564</v>
      </c>
      <c r="G14" s="20">
        <f>IF(AND(E14&gt;0,F14&gt;0),F14-E14,"")</f>
        <v>-2</v>
      </c>
      <c r="H14" s="20" t="s">
        <v>72</v>
      </c>
      <c r="I14" s="20"/>
      <c r="J14" s="20"/>
      <c r="K14" s="20"/>
      <c r="L14" s="21"/>
      <c r="M14" s="23"/>
    </row>
    <row r="15" spans="1:13" x14ac:dyDescent="0.3">
      <c r="A15" s="56">
        <f>A14+1</f>
        <v>1</v>
      </c>
      <c r="B15" s="5" t="s">
        <v>36</v>
      </c>
      <c r="C15" s="6" t="s">
        <v>37</v>
      </c>
      <c r="D15" s="6" t="s">
        <v>47</v>
      </c>
      <c r="E15" s="12">
        <v>45638</v>
      </c>
      <c r="G15" s="6">
        <f>IF(AND(E15&gt;0,F15&gt;0),F15-E15,0)</f>
        <v>0</v>
      </c>
      <c r="H15" s="6" t="s">
        <v>46</v>
      </c>
      <c r="L15" s="12"/>
    </row>
    <row r="16" spans="1:13" x14ac:dyDescent="0.3">
      <c r="A16" s="56">
        <f t="shared" ref="A16:A33" si="0">A15+1</f>
        <v>2</v>
      </c>
      <c r="B16" s="5" t="s">
        <v>53</v>
      </c>
      <c r="C16" s="6" t="s">
        <v>42</v>
      </c>
      <c r="D16" s="6" t="s">
        <v>47</v>
      </c>
      <c r="E16" s="12">
        <v>45638</v>
      </c>
      <c r="G16" s="6">
        <f t="shared" ref="G16:G47" si="1">IF(AND(E16&gt;0,F16&gt;0),F16-E16,0)</f>
        <v>0</v>
      </c>
      <c r="H16" s="6" t="s">
        <v>46</v>
      </c>
      <c r="L16" s="12"/>
    </row>
    <row r="17" spans="1:12" ht="15.6" thickBot="1" x14ac:dyDescent="0.35">
      <c r="A17" s="56">
        <f t="shared" si="0"/>
        <v>3</v>
      </c>
      <c r="B17" s="5" t="s">
        <v>38</v>
      </c>
      <c r="C17" s="10" t="s">
        <v>94</v>
      </c>
      <c r="D17" s="6" t="s">
        <v>47</v>
      </c>
      <c r="E17" s="12">
        <v>45638</v>
      </c>
      <c r="G17" s="6">
        <f t="shared" si="1"/>
        <v>0</v>
      </c>
      <c r="H17" s="6" t="s">
        <v>46</v>
      </c>
      <c r="L17" s="12"/>
    </row>
    <row r="18" spans="1:12" x14ac:dyDescent="0.3">
      <c r="A18" s="56">
        <f t="shared" si="0"/>
        <v>4</v>
      </c>
      <c r="B18" s="5" t="s">
        <v>39</v>
      </c>
      <c r="C18" s="6" t="s">
        <v>45</v>
      </c>
      <c r="D18" s="6" t="s">
        <v>47</v>
      </c>
      <c r="E18" s="12">
        <v>45638</v>
      </c>
      <c r="G18" s="6">
        <f t="shared" si="1"/>
        <v>0</v>
      </c>
      <c r="H18" s="6" t="s">
        <v>46</v>
      </c>
      <c r="L18" s="12"/>
    </row>
    <row r="19" spans="1:12" x14ac:dyDescent="0.3">
      <c r="A19" s="56">
        <f t="shared" si="0"/>
        <v>5</v>
      </c>
      <c r="B19" s="5" t="s">
        <v>50</v>
      </c>
      <c r="C19" s="6" t="s">
        <v>45</v>
      </c>
      <c r="D19" s="6" t="s">
        <v>47</v>
      </c>
      <c r="E19" s="12">
        <v>45638</v>
      </c>
      <c r="G19" s="6">
        <f t="shared" si="1"/>
        <v>0</v>
      </c>
      <c r="H19" s="6" t="s">
        <v>46</v>
      </c>
      <c r="L19" s="12"/>
    </row>
    <row r="20" spans="1:12" x14ac:dyDescent="0.3">
      <c r="A20" s="56">
        <f t="shared" si="0"/>
        <v>6</v>
      </c>
      <c r="B20" s="5" t="s">
        <v>49</v>
      </c>
      <c r="C20" s="6" t="s">
        <v>45</v>
      </c>
      <c r="D20" s="6" t="s">
        <v>47</v>
      </c>
      <c r="E20" s="12">
        <v>45638</v>
      </c>
      <c r="G20" s="6">
        <f t="shared" si="1"/>
        <v>0</v>
      </c>
      <c r="H20" s="6" t="s">
        <v>46</v>
      </c>
      <c r="L20" s="12"/>
    </row>
    <row r="21" spans="1:12" x14ac:dyDescent="0.3">
      <c r="A21" s="56">
        <f t="shared" si="0"/>
        <v>7</v>
      </c>
      <c r="B21" s="5" t="s">
        <v>55</v>
      </c>
      <c r="C21" s="6" t="s">
        <v>42</v>
      </c>
      <c r="D21" s="6" t="s">
        <v>47</v>
      </c>
      <c r="E21" s="12">
        <v>45638</v>
      </c>
      <c r="G21" s="6">
        <f t="shared" si="1"/>
        <v>0</v>
      </c>
      <c r="H21" s="6" t="s">
        <v>46</v>
      </c>
      <c r="L21" s="12"/>
    </row>
    <row r="22" spans="1:12" x14ac:dyDescent="0.3">
      <c r="A22" s="56">
        <f t="shared" si="0"/>
        <v>8</v>
      </c>
      <c r="B22" s="5" t="s">
        <v>56</v>
      </c>
      <c r="C22" s="6" t="s">
        <v>44</v>
      </c>
      <c r="D22" s="6" t="s">
        <v>47</v>
      </c>
      <c r="E22" s="12">
        <v>45638</v>
      </c>
      <c r="G22" s="6">
        <f t="shared" si="1"/>
        <v>0</v>
      </c>
      <c r="H22" s="6" t="s">
        <v>46</v>
      </c>
      <c r="L22" s="12"/>
    </row>
    <row r="23" spans="1:12" ht="15.6" x14ac:dyDescent="0.3">
      <c r="A23" s="56">
        <f t="shared" si="0"/>
        <v>9</v>
      </c>
      <c r="B23" s="5" t="s">
        <v>64</v>
      </c>
      <c r="C23" s="27" t="s">
        <v>54</v>
      </c>
      <c r="D23" s="6" t="s">
        <v>47</v>
      </c>
      <c r="E23" s="12">
        <v>45638</v>
      </c>
      <c r="G23" s="6">
        <f t="shared" si="1"/>
        <v>0</v>
      </c>
      <c r="H23" s="6" t="s">
        <v>46</v>
      </c>
      <c r="L23" s="12"/>
    </row>
    <row r="24" spans="1:12" ht="15.6" x14ac:dyDescent="0.3">
      <c r="A24" s="56">
        <f t="shared" si="0"/>
        <v>10</v>
      </c>
      <c r="B24" s="5" t="s">
        <v>65</v>
      </c>
      <c r="C24" s="27" t="s">
        <v>54</v>
      </c>
      <c r="D24" s="6" t="s">
        <v>47</v>
      </c>
      <c r="E24" s="12">
        <v>45638</v>
      </c>
      <c r="G24" s="6">
        <f t="shared" si="1"/>
        <v>0</v>
      </c>
      <c r="H24" s="6" t="s">
        <v>46</v>
      </c>
      <c r="L24" s="12"/>
    </row>
    <row r="25" spans="1:12" ht="15.6" x14ac:dyDescent="0.3">
      <c r="A25" s="56">
        <f t="shared" si="0"/>
        <v>11</v>
      </c>
      <c r="B25" s="5" t="s">
        <v>57</v>
      </c>
      <c r="C25" s="27" t="s">
        <v>54</v>
      </c>
      <c r="D25" s="6" t="s">
        <v>47</v>
      </c>
      <c r="E25" s="12">
        <v>45638</v>
      </c>
      <c r="G25" s="6">
        <f t="shared" si="1"/>
        <v>0</v>
      </c>
      <c r="H25" s="6" t="s">
        <v>46</v>
      </c>
      <c r="L25" s="12"/>
    </row>
    <row r="26" spans="1:12" x14ac:dyDescent="0.3">
      <c r="A26" s="56">
        <f t="shared" si="0"/>
        <v>12</v>
      </c>
      <c r="B26" s="5" t="s">
        <v>70</v>
      </c>
      <c r="C26" s="6" t="s">
        <v>37</v>
      </c>
      <c r="D26" s="6" t="s">
        <v>47</v>
      </c>
      <c r="E26" s="12">
        <v>45559</v>
      </c>
      <c r="F26" s="12">
        <v>45559</v>
      </c>
      <c r="G26" s="6">
        <f t="shared" si="1"/>
        <v>0</v>
      </c>
      <c r="H26" s="6" t="s">
        <v>72</v>
      </c>
      <c r="L26" s="12"/>
    </row>
    <row r="27" spans="1:12" x14ac:dyDescent="0.3">
      <c r="A27" s="56">
        <f t="shared" si="0"/>
        <v>13</v>
      </c>
      <c r="B27" s="5" t="s">
        <v>23</v>
      </c>
      <c r="C27" s="6" t="s">
        <v>45</v>
      </c>
      <c r="D27" s="6" t="s">
        <v>48</v>
      </c>
      <c r="E27" s="12">
        <v>45638</v>
      </c>
      <c r="G27" s="6">
        <f t="shared" si="1"/>
        <v>0</v>
      </c>
      <c r="H27" s="6" t="s">
        <v>96</v>
      </c>
      <c r="L27" s="12"/>
    </row>
    <row r="28" spans="1:12" x14ac:dyDescent="0.3">
      <c r="A28" s="56">
        <f t="shared" si="0"/>
        <v>14</v>
      </c>
      <c r="B28" s="5" t="s">
        <v>24</v>
      </c>
      <c r="C28" s="6" t="s">
        <v>45</v>
      </c>
      <c r="D28" s="6" t="s">
        <v>48</v>
      </c>
      <c r="E28" s="12">
        <v>45638</v>
      </c>
      <c r="G28" s="6">
        <f t="shared" si="1"/>
        <v>0</v>
      </c>
      <c r="H28" s="6" t="s">
        <v>97</v>
      </c>
      <c r="L28" s="12"/>
    </row>
    <row r="29" spans="1:12" x14ac:dyDescent="0.3">
      <c r="A29" s="56">
        <f t="shared" si="0"/>
        <v>15</v>
      </c>
      <c r="B29" s="5" t="s">
        <v>25</v>
      </c>
      <c r="C29" s="6" t="s">
        <v>42</v>
      </c>
      <c r="D29" s="6" t="s">
        <v>48</v>
      </c>
      <c r="E29" s="12">
        <v>45638</v>
      </c>
      <c r="G29" s="6">
        <f t="shared" si="1"/>
        <v>0</v>
      </c>
      <c r="H29" s="6" t="s">
        <v>98</v>
      </c>
      <c r="L29" s="12"/>
    </row>
    <row r="30" spans="1:12" x14ac:dyDescent="0.3">
      <c r="A30" s="56">
        <f t="shared" si="0"/>
        <v>16</v>
      </c>
      <c r="B30" s="5" t="s">
        <v>26</v>
      </c>
      <c r="C30" s="6" t="s">
        <v>42</v>
      </c>
      <c r="D30" s="6" t="s">
        <v>48</v>
      </c>
      <c r="E30" s="12">
        <v>45638</v>
      </c>
      <c r="G30" s="6">
        <f t="shared" si="1"/>
        <v>0</v>
      </c>
      <c r="H30" s="6" t="s">
        <v>99</v>
      </c>
      <c r="L30" s="12"/>
    </row>
    <row r="31" spans="1:12" x14ac:dyDescent="0.3">
      <c r="A31" s="56">
        <f t="shared" si="0"/>
        <v>17</v>
      </c>
      <c r="B31" s="5" t="s">
        <v>27</v>
      </c>
      <c r="C31" s="6" t="s">
        <v>42</v>
      </c>
      <c r="D31" s="6" t="s">
        <v>48</v>
      </c>
      <c r="E31" s="12">
        <v>45638</v>
      </c>
      <c r="G31" s="6">
        <f t="shared" si="1"/>
        <v>0</v>
      </c>
      <c r="H31" s="6" t="s">
        <v>100</v>
      </c>
      <c r="L31" s="12"/>
    </row>
    <row r="32" spans="1:12" ht="17.25" customHeight="1" x14ac:dyDescent="0.3">
      <c r="A32" s="56">
        <f t="shared" si="0"/>
        <v>18</v>
      </c>
      <c r="B32" s="5" t="s">
        <v>28</v>
      </c>
      <c r="C32" s="6" t="s">
        <v>42</v>
      </c>
      <c r="D32" s="6" t="s">
        <v>48</v>
      </c>
      <c r="E32" s="12">
        <v>45638</v>
      </c>
      <c r="G32" s="6">
        <f t="shared" si="1"/>
        <v>0</v>
      </c>
      <c r="H32" s="6" t="s">
        <v>101</v>
      </c>
      <c r="L32" s="12"/>
    </row>
    <row r="33" spans="1:13" s="15" customFormat="1" ht="15.6" thickBot="1" x14ac:dyDescent="0.35">
      <c r="A33" s="57">
        <f t="shared" si="0"/>
        <v>19</v>
      </c>
      <c r="B33" s="9" t="s">
        <v>29</v>
      </c>
      <c r="C33" s="10" t="s">
        <v>44</v>
      </c>
      <c r="D33" s="10" t="s">
        <v>48</v>
      </c>
      <c r="E33" s="14">
        <v>45638</v>
      </c>
      <c r="F33" s="10"/>
      <c r="G33" s="10">
        <f t="shared" si="1"/>
        <v>0</v>
      </c>
      <c r="H33" s="10" t="s">
        <v>102</v>
      </c>
      <c r="I33" s="10"/>
      <c r="J33" s="10"/>
      <c r="K33" s="10"/>
      <c r="L33" s="14"/>
      <c r="M33" s="25"/>
    </row>
    <row r="34" spans="1:13" s="18" customFormat="1" ht="30.75" customHeight="1" x14ac:dyDescent="0.3">
      <c r="A34" s="58">
        <f>IF(D34=D33,A33+1,(D34*100))</f>
        <v>0</v>
      </c>
      <c r="B34" s="16" t="s">
        <v>61</v>
      </c>
      <c r="C34" s="17" t="s">
        <v>37</v>
      </c>
      <c r="D34" s="17">
        <v>0</v>
      </c>
      <c r="E34" s="36">
        <v>45573</v>
      </c>
      <c r="F34" s="36">
        <v>45587</v>
      </c>
      <c r="G34" s="20">
        <f t="shared" si="1"/>
        <v>14</v>
      </c>
      <c r="H34" s="17"/>
      <c r="I34" s="17"/>
      <c r="J34" s="17"/>
      <c r="K34" s="17"/>
      <c r="L34" s="21"/>
      <c r="M34" s="37" t="s">
        <v>69</v>
      </c>
    </row>
    <row r="35" spans="1:13" x14ac:dyDescent="0.3">
      <c r="A35" s="59">
        <f t="shared" ref="A35:A45" si="2">IF(D35=D34,A34+1,(D35*100))</f>
        <v>1</v>
      </c>
      <c r="B35" s="5" t="s">
        <v>30</v>
      </c>
      <c r="C35" s="6" t="s">
        <v>42</v>
      </c>
      <c r="D35" s="6">
        <v>0</v>
      </c>
      <c r="E35" s="12">
        <v>45573</v>
      </c>
      <c r="F35" s="12">
        <v>45553</v>
      </c>
      <c r="G35" s="6">
        <f t="shared" si="1"/>
        <v>-20</v>
      </c>
      <c r="H35" s="6" t="s">
        <v>97</v>
      </c>
      <c r="L35" s="12"/>
      <c r="M35" s="79" t="s">
        <v>78</v>
      </c>
    </row>
    <row r="36" spans="1:13" x14ac:dyDescent="0.3">
      <c r="A36" s="59">
        <f t="shared" si="2"/>
        <v>2</v>
      </c>
      <c r="B36" s="5" t="s">
        <v>31</v>
      </c>
      <c r="C36" s="6" t="s">
        <v>42</v>
      </c>
      <c r="D36" s="6">
        <v>0</v>
      </c>
      <c r="E36" s="12">
        <v>45573</v>
      </c>
      <c r="F36" s="12">
        <v>45553</v>
      </c>
      <c r="G36" s="6">
        <f t="shared" si="1"/>
        <v>-20</v>
      </c>
      <c r="H36" s="6" t="s">
        <v>97</v>
      </c>
      <c r="L36" s="12"/>
      <c r="M36" s="80"/>
    </row>
    <row r="37" spans="1:13" x14ac:dyDescent="0.3">
      <c r="A37" s="59">
        <f t="shared" si="2"/>
        <v>3</v>
      </c>
      <c r="B37" s="5" t="s">
        <v>67</v>
      </c>
      <c r="C37" s="6" t="s">
        <v>42</v>
      </c>
      <c r="D37" s="6">
        <v>0</v>
      </c>
      <c r="E37" s="12">
        <v>45573</v>
      </c>
      <c r="F37" s="12">
        <v>45553</v>
      </c>
      <c r="G37" s="6">
        <f t="shared" si="1"/>
        <v>-20</v>
      </c>
      <c r="H37" s="6" t="s">
        <v>97</v>
      </c>
      <c r="L37" s="12"/>
      <c r="M37" s="80"/>
    </row>
    <row r="38" spans="1:13" x14ac:dyDescent="0.3">
      <c r="A38" s="59">
        <f t="shared" si="2"/>
        <v>4</v>
      </c>
      <c r="B38" s="5" t="s">
        <v>32</v>
      </c>
      <c r="C38" s="6" t="s">
        <v>42</v>
      </c>
      <c r="D38" s="6">
        <v>0</v>
      </c>
      <c r="E38" s="12">
        <v>45573</v>
      </c>
      <c r="F38" s="12">
        <v>45553</v>
      </c>
      <c r="G38" s="6">
        <f t="shared" si="1"/>
        <v>-20</v>
      </c>
      <c r="H38" s="6" t="s">
        <v>97</v>
      </c>
      <c r="L38" s="12"/>
      <c r="M38" s="80"/>
    </row>
    <row r="39" spans="1:13" x14ac:dyDescent="0.3">
      <c r="A39" s="59">
        <f t="shared" si="2"/>
        <v>5</v>
      </c>
      <c r="B39" s="5" t="s">
        <v>33</v>
      </c>
      <c r="C39" s="6" t="s">
        <v>42</v>
      </c>
      <c r="D39" s="6">
        <v>0</v>
      </c>
      <c r="E39" s="12">
        <v>45573</v>
      </c>
      <c r="F39" s="12">
        <v>45553</v>
      </c>
      <c r="G39" s="6">
        <f t="shared" si="1"/>
        <v>-20</v>
      </c>
      <c r="H39" s="6" t="s">
        <v>97</v>
      </c>
      <c r="L39" s="12"/>
      <c r="M39" s="80"/>
    </row>
    <row r="40" spans="1:13" ht="28.8" x14ac:dyDescent="0.3">
      <c r="A40" s="59">
        <f t="shared" si="2"/>
        <v>6</v>
      </c>
      <c r="B40" s="5" t="s">
        <v>80</v>
      </c>
      <c r="C40" s="6" t="s">
        <v>42</v>
      </c>
      <c r="D40" s="6">
        <v>0</v>
      </c>
      <c r="E40" s="12">
        <v>45573</v>
      </c>
      <c r="F40" s="12">
        <v>45583</v>
      </c>
      <c r="G40" s="6">
        <f t="shared" si="1"/>
        <v>10</v>
      </c>
      <c r="H40" s="6" t="s">
        <v>97</v>
      </c>
      <c r="L40" s="12"/>
      <c r="M40" s="42" t="s">
        <v>77</v>
      </c>
    </row>
    <row r="41" spans="1:13" x14ac:dyDescent="0.3">
      <c r="A41" s="59">
        <f t="shared" si="2"/>
        <v>7</v>
      </c>
      <c r="B41" s="5" t="s">
        <v>79</v>
      </c>
      <c r="C41" s="6" t="s">
        <v>44</v>
      </c>
      <c r="D41" s="6">
        <v>0</v>
      </c>
      <c r="E41" s="12">
        <v>45573</v>
      </c>
      <c r="F41" s="12">
        <v>45564</v>
      </c>
      <c r="G41" s="6">
        <f t="shared" si="1"/>
        <v>-9</v>
      </c>
      <c r="H41" s="6" t="s">
        <v>103</v>
      </c>
      <c r="L41" s="12"/>
      <c r="M41" s="42" t="s">
        <v>76</v>
      </c>
    </row>
    <row r="42" spans="1:13" x14ac:dyDescent="0.3">
      <c r="A42" s="59">
        <f t="shared" si="2"/>
        <v>8</v>
      </c>
      <c r="B42" s="5" t="s">
        <v>81</v>
      </c>
      <c r="C42" s="6" t="s">
        <v>45</v>
      </c>
      <c r="D42" s="6">
        <v>0</v>
      </c>
      <c r="E42" s="12">
        <v>45573</v>
      </c>
      <c r="F42" s="12">
        <v>45564</v>
      </c>
      <c r="G42" s="6">
        <f t="shared" si="1"/>
        <v>-9</v>
      </c>
      <c r="H42" s="6" t="s">
        <v>103</v>
      </c>
      <c r="L42" s="12"/>
      <c r="M42" s="24" t="s">
        <v>82</v>
      </c>
    </row>
    <row r="43" spans="1:13" x14ac:dyDescent="0.3">
      <c r="A43" s="59">
        <f t="shared" si="2"/>
        <v>9</v>
      </c>
      <c r="B43" s="5" t="s">
        <v>75</v>
      </c>
      <c r="C43" s="41" t="s">
        <v>44</v>
      </c>
      <c r="D43" s="6">
        <v>0</v>
      </c>
      <c r="E43" s="12">
        <v>45573</v>
      </c>
      <c r="F43" s="12">
        <v>45564</v>
      </c>
      <c r="G43" s="6">
        <f t="shared" si="1"/>
        <v>-9</v>
      </c>
      <c r="H43" s="6" t="s">
        <v>97</v>
      </c>
      <c r="L43" s="12"/>
      <c r="M43" s="33" t="s">
        <v>74</v>
      </c>
    </row>
    <row r="44" spans="1:13" x14ac:dyDescent="0.3">
      <c r="A44" s="59">
        <f t="shared" si="2"/>
        <v>10</v>
      </c>
      <c r="B44" s="5" t="s">
        <v>73</v>
      </c>
      <c r="C44" s="6" t="s">
        <v>45</v>
      </c>
      <c r="D44" s="6">
        <v>0</v>
      </c>
      <c r="E44" s="12">
        <v>45573</v>
      </c>
      <c r="F44" s="12">
        <v>45562</v>
      </c>
      <c r="G44" s="6">
        <f t="shared" si="1"/>
        <v>-11</v>
      </c>
      <c r="H44" s="6" t="s">
        <v>97</v>
      </c>
      <c r="L44" s="12"/>
      <c r="M44" s="24" t="s">
        <v>82</v>
      </c>
    </row>
    <row r="45" spans="1:13" s="15" customFormat="1" ht="15.6" thickBot="1" x14ac:dyDescent="0.35">
      <c r="A45" s="60">
        <f t="shared" si="2"/>
        <v>11</v>
      </c>
      <c r="B45" s="9" t="s">
        <v>34</v>
      </c>
      <c r="C45" s="10" t="s">
        <v>45</v>
      </c>
      <c r="D45" s="10">
        <v>0</v>
      </c>
      <c r="E45" s="14">
        <v>45573</v>
      </c>
      <c r="F45" s="14">
        <v>45562</v>
      </c>
      <c r="G45" s="10">
        <f t="shared" si="1"/>
        <v>-11</v>
      </c>
      <c r="H45" s="10" t="s">
        <v>97</v>
      </c>
      <c r="I45" s="10"/>
      <c r="J45" s="10"/>
      <c r="K45" s="10"/>
      <c r="L45" s="14"/>
      <c r="M45" s="25" t="s">
        <v>82</v>
      </c>
    </row>
    <row r="46" spans="1:13" s="48" customFormat="1" ht="30.75" customHeight="1" thickBot="1" x14ac:dyDescent="0.35">
      <c r="A46" s="61">
        <f>IF(D46=D44,A44+1,(D46*100))</f>
        <v>100</v>
      </c>
      <c r="B46" s="43" t="s">
        <v>86</v>
      </c>
      <c r="C46" s="17" t="s">
        <v>37</v>
      </c>
      <c r="D46" s="44">
        <v>1</v>
      </c>
      <c r="E46" s="45">
        <v>45579</v>
      </c>
      <c r="F46" s="46" t="s">
        <v>83</v>
      </c>
      <c r="G46" s="47"/>
      <c r="H46" s="44"/>
      <c r="I46" s="44"/>
      <c r="J46" s="44"/>
      <c r="K46" s="44"/>
      <c r="L46" s="45"/>
      <c r="M46" s="48" t="s">
        <v>68</v>
      </c>
    </row>
    <row r="47" spans="1:13" s="18" customFormat="1" ht="30.75" customHeight="1" x14ac:dyDescent="0.3">
      <c r="A47" s="58">
        <f>IF(D47=D45,A45+1,(D47*100))</f>
        <v>100</v>
      </c>
      <c r="B47" s="16" t="s">
        <v>87</v>
      </c>
      <c r="C47" s="17" t="s">
        <v>37</v>
      </c>
      <c r="D47" s="17">
        <v>1</v>
      </c>
      <c r="E47" s="21">
        <v>45596</v>
      </c>
      <c r="F47" s="36"/>
      <c r="G47" s="20">
        <f t="shared" si="1"/>
        <v>0</v>
      </c>
      <c r="H47" s="17"/>
      <c r="I47" s="17"/>
      <c r="J47" s="17"/>
      <c r="K47" s="17"/>
      <c r="L47" s="21"/>
    </row>
    <row r="48" spans="1:13" x14ac:dyDescent="0.3">
      <c r="A48" s="50">
        <f t="shared" ref="A48:A112" si="3">IF(B48="","",IF(D48=D47,A47+1,(D48*100)))</f>
        <v>101</v>
      </c>
      <c r="B48" s="5" t="s">
        <v>66</v>
      </c>
      <c r="C48" s="6" t="s">
        <v>45</v>
      </c>
      <c r="D48" s="6">
        <v>1</v>
      </c>
      <c r="E48" s="12">
        <v>45600</v>
      </c>
      <c r="F48" s="12">
        <v>45600</v>
      </c>
      <c r="G48" s="6">
        <f t="shared" ref="G48:G112" si="4">IF(B48="","",IF(AND(E48&gt;0,F48&gt;0),F48-E48,0))</f>
        <v>0</v>
      </c>
      <c r="H48" s="6" t="s">
        <v>46</v>
      </c>
      <c r="L48" s="12"/>
    </row>
    <row r="49" spans="1:13" ht="15.6" x14ac:dyDescent="0.3">
      <c r="A49" s="59">
        <f t="shared" si="3"/>
        <v>102</v>
      </c>
      <c r="B49" s="5" t="s">
        <v>52</v>
      </c>
      <c r="C49" s="6" t="s">
        <v>42</v>
      </c>
      <c r="D49" s="6">
        <v>1</v>
      </c>
      <c r="E49" s="76">
        <v>45638</v>
      </c>
      <c r="F49" s="12">
        <v>45593</v>
      </c>
      <c r="G49" s="6">
        <f t="shared" si="4"/>
        <v>-45</v>
      </c>
      <c r="H49" s="6" t="s">
        <v>46</v>
      </c>
      <c r="L49" s="12"/>
    </row>
    <row r="50" spans="1:13" x14ac:dyDescent="0.3">
      <c r="A50" s="59">
        <f t="shared" si="3"/>
        <v>103</v>
      </c>
      <c r="B50" s="5" t="s">
        <v>35</v>
      </c>
      <c r="C50" s="6" t="s">
        <v>45</v>
      </c>
      <c r="D50" s="6">
        <v>1</v>
      </c>
      <c r="E50" s="12">
        <v>45596</v>
      </c>
      <c r="F50" s="12">
        <f>F45</f>
        <v>45562</v>
      </c>
      <c r="G50" s="6">
        <f t="shared" si="4"/>
        <v>-34</v>
      </c>
      <c r="H50" s="6" t="s">
        <v>97</v>
      </c>
      <c r="L50" s="12"/>
      <c r="M50" s="24" t="s">
        <v>62</v>
      </c>
    </row>
    <row r="51" spans="1:13" x14ac:dyDescent="0.3">
      <c r="A51" s="59">
        <f t="shared" si="3"/>
        <v>104</v>
      </c>
      <c r="B51" s="5" t="s">
        <v>63</v>
      </c>
      <c r="C51" s="6" t="s">
        <v>44</v>
      </c>
      <c r="D51" s="6">
        <v>1</v>
      </c>
      <c r="E51" s="12">
        <v>45596</v>
      </c>
      <c r="F51" s="12">
        <v>45592</v>
      </c>
      <c r="G51" s="6">
        <f t="shared" si="4"/>
        <v>-4</v>
      </c>
      <c r="H51" s="6" t="s">
        <v>97</v>
      </c>
      <c r="L51" s="12"/>
    </row>
    <row r="52" spans="1:13" x14ac:dyDescent="0.3">
      <c r="A52" s="59">
        <f t="shared" si="3"/>
        <v>105</v>
      </c>
      <c r="B52" s="5" t="s">
        <v>51</v>
      </c>
      <c r="C52" s="6" t="s">
        <v>42</v>
      </c>
      <c r="D52" s="6">
        <v>1</v>
      </c>
      <c r="E52" s="12">
        <v>45596</v>
      </c>
      <c r="F52" s="12">
        <v>45595</v>
      </c>
      <c r="G52" s="6">
        <f t="shared" si="4"/>
        <v>-1</v>
      </c>
      <c r="H52" s="6" t="s">
        <v>104</v>
      </c>
      <c r="L52" s="12"/>
    </row>
    <row r="53" spans="1:13" x14ac:dyDescent="0.3">
      <c r="A53" s="50">
        <f>IF(B53="","",IF(D53=D52,A52+1,(D53*100)))</f>
        <v>106</v>
      </c>
      <c r="B53" s="5" t="s">
        <v>88</v>
      </c>
      <c r="C53" s="6" t="s">
        <v>45</v>
      </c>
      <c r="D53" s="6">
        <v>1</v>
      </c>
      <c r="E53" s="12">
        <v>45600</v>
      </c>
      <c r="F53" s="12">
        <v>45600</v>
      </c>
      <c r="G53" s="6">
        <f t="shared" si="4"/>
        <v>0</v>
      </c>
      <c r="H53" s="6" t="s">
        <v>103</v>
      </c>
      <c r="L53" s="12"/>
    </row>
    <row r="54" spans="1:13" ht="19.05" customHeight="1" x14ac:dyDescent="0.3">
      <c r="A54" s="50" t="s">
        <v>105</v>
      </c>
      <c r="B54" s="5" t="s">
        <v>106</v>
      </c>
      <c r="C54" s="6" t="s">
        <v>45</v>
      </c>
      <c r="D54" s="6">
        <v>1</v>
      </c>
      <c r="E54" s="77">
        <v>45600</v>
      </c>
      <c r="F54" s="12">
        <v>45600</v>
      </c>
      <c r="G54" s="6">
        <f>IF(B54="","",IF(AND(E54&gt;0,F54&gt;0),F54-E54,0))</f>
        <v>0</v>
      </c>
      <c r="H54" s="6" t="s">
        <v>102</v>
      </c>
      <c r="L54" s="12"/>
    </row>
    <row r="55" spans="1:13" ht="19.05" customHeight="1" x14ac:dyDescent="0.3">
      <c r="A55" s="50" t="s">
        <v>105</v>
      </c>
      <c r="B55" s="5" t="s">
        <v>108</v>
      </c>
      <c r="C55" s="6" t="s">
        <v>42</v>
      </c>
      <c r="D55" s="6">
        <v>1.1000000000000001</v>
      </c>
      <c r="E55" s="77">
        <v>45602</v>
      </c>
      <c r="F55" s="12"/>
      <c r="L55" s="12"/>
    </row>
    <row r="56" spans="1:13" ht="19.05" customHeight="1" x14ac:dyDescent="0.3">
      <c r="A56" s="50" t="s">
        <v>105</v>
      </c>
      <c r="B56" s="5" t="s">
        <v>109</v>
      </c>
      <c r="C56" s="6" t="s">
        <v>45</v>
      </c>
      <c r="D56" s="6">
        <v>1.1000000000000001</v>
      </c>
      <c r="E56" s="77">
        <v>45602</v>
      </c>
      <c r="F56" s="12"/>
      <c r="L56" s="12"/>
    </row>
    <row r="57" spans="1:13" ht="19.05" customHeight="1" x14ac:dyDescent="0.3">
      <c r="A57" s="50">
        <f>IF(B57="","",IF(D57=Sheet1!D54,Sheet1!A54+1,(D57*100)))</f>
        <v>110.00000000000001</v>
      </c>
      <c r="B57" s="5" t="str">
        <f>"Iteration "&amp;D57&amp;" Test Report"</f>
        <v>Iteration 1.1 Test Report</v>
      </c>
      <c r="C57" s="6" t="s">
        <v>45</v>
      </c>
      <c r="D57" s="6">
        <v>1.1000000000000001</v>
      </c>
      <c r="E57" s="49">
        <v>45603</v>
      </c>
      <c r="G57" s="6">
        <f>IF(B57="","",IF(AND(E57&gt;0,F57&gt;0),F57-E57,0))</f>
        <v>0</v>
      </c>
      <c r="L57" s="12"/>
      <c r="M57" s="24" t="s">
        <v>107</v>
      </c>
    </row>
    <row r="58" spans="1:13" s="75" customFormat="1" ht="30.75" customHeight="1" x14ac:dyDescent="0.3">
      <c r="A58" s="68">
        <f>IF(B58="","",IF(D58=D53,A53+1,(D58*100)))</f>
        <v>200</v>
      </c>
      <c r="B58" s="69" t="str">
        <f>"Iteration " &amp; D58 &amp; " Completion"</f>
        <v>Iteration 2 Completion</v>
      </c>
      <c r="C58" s="70" t="s">
        <v>37</v>
      </c>
      <c r="D58" s="70">
        <v>2</v>
      </c>
      <c r="E58" s="71">
        <v>45608</v>
      </c>
      <c r="F58" s="70"/>
      <c r="G58" s="72">
        <f t="shared" si="4"/>
        <v>0</v>
      </c>
      <c r="H58" s="70"/>
      <c r="I58" s="70"/>
      <c r="J58" s="70"/>
      <c r="K58" s="70"/>
      <c r="L58" s="73"/>
      <c r="M58" s="74"/>
    </row>
    <row r="59" spans="1:13" ht="15.6" x14ac:dyDescent="0.3">
      <c r="A59" s="50">
        <f>IF(B59="","",IF(D59=D54,A54+1,(D59*100)))</f>
        <v>200</v>
      </c>
      <c r="B59" s="5" t="s">
        <v>84</v>
      </c>
      <c r="C59" s="6" t="s">
        <v>42</v>
      </c>
      <c r="D59" s="6">
        <v>2</v>
      </c>
      <c r="E59" s="49">
        <v>45606</v>
      </c>
      <c r="G59" s="6">
        <f t="shared" si="4"/>
        <v>0</v>
      </c>
      <c r="H59" s="6" t="s">
        <v>97</v>
      </c>
      <c r="L59" s="12"/>
    </row>
    <row r="60" spans="1:13" ht="15.6" x14ac:dyDescent="0.3">
      <c r="A60" s="50">
        <f t="shared" si="3"/>
        <v>201</v>
      </c>
      <c r="B60" s="5" t="s">
        <v>85</v>
      </c>
      <c r="C60" s="6" t="s">
        <v>44</v>
      </c>
      <c r="D60" s="6">
        <v>2</v>
      </c>
      <c r="E60" s="49">
        <f t="shared" ref="E60:E120" si="5">IF(B60="","",IF(D60=D59,E59,E59+14))</f>
        <v>45606</v>
      </c>
      <c r="G60" s="6">
        <f t="shared" si="4"/>
        <v>0</v>
      </c>
      <c r="H60" s="6" t="s">
        <v>97</v>
      </c>
      <c r="L60" s="12"/>
    </row>
    <row r="61" spans="1:13" ht="15.6" x14ac:dyDescent="0.3">
      <c r="A61" s="50">
        <f t="shared" si="3"/>
        <v>202</v>
      </c>
      <c r="B61" s="5" t="s">
        <v>93</v>
      </c>
      <c r="C61" s="6" t="s">
        <v>44</v>
      </c>
      <c r="D61" s="6">
        <f>IF(B61="","",D60)</f>
        <v>2</v>
      </c>
      <c r="E61" s="49">
        <f t="shared" si="5"/>
        <v>45606</v>
      </c>
      <c r="G61" s="6">
        <f t="shared" si="4"/>
        <v>0</v>
      </c>
      <c r="H61" s="6" t="s">
        <v>97</v>
      </c>
      <c r="L61" s="12"/>
    </row>
    <row r="62" spans="1:13" ht="15.6" x14ac:dyDescent="0.3">
      <c r="A62" s="50">
        <f t="shared" si="3"/>
        <v>203</v>
      </c>
      <c r="B62" s="5" t="s">
        <v>92</v>
      </c>
      <c r="C62" s="6" t="s">
        <v>42</v>
      </c>
      <c r="D62" s="6">
        <f t="shared" ref="D62:D124" si="6">IF(B62="","",D61)</f>
        <v>2</v>
      </c>
      <c r="E62" s="49">
        <f t="shared" si="5"/>
        <v>45606</v>
      </c>
      <c r="G62" s="6">
        <f t="shared" si="4"/>
        <v>0</v>
      </c>
      <c r="H62" s="6" t="s">
        <v>97</v>
      </c>
      <c r="L62" s="12"/>
    </row>
    <row r="63" spans="1:13" ht="15.6" x14ac:dyDescent="0.3">
      <c r="A63" s="50">
        <f t="shared" si="3"/>
        <v>204</v>
      </c>
      <c r="B63" s="5" t="s">
        <v>95</v>
      </c>
      <c r="C63" s="6" t="s">
        <v>45</v>
      </c>
      <c r="D63" s="6">
        <f t="shared" si="6"/>
        <v>2</v>
      </c>
      <c r="E63" s="49">
        <f t="shared" si="5"/>
        <v>45606</v>
      </c>
      <c r="G63" s="6">
        <f t="shared" si="4"/>
        <v>0</v>
      </c>
      <c r="H63" s="6" t="s">
        <v>97</v>
      </c>
      <c r="L63" s="12">
        <f t="shared" ref="L63:L112" si="7">IF(B63="","",IF(D63=D62,L62,IF(F63&gt;0,F63,"Not Delivered")))</f>
        <v>0</v>
      </c>
    </row>
    <row r="64" spans="1:13" ht="15.6" x14ac:dyDescent="0.3">
      <c r="A64" s="50">
        <f>IF(B64="","",IF(D64=D69,A69+1,(D64*100)))</f>
        <v>207</v>
      </c>
      <c r="B64" s="5" t="s">
        <v>110</v>
      </c>
      <c r="C64" s="6" t="s">
        <v>42</v>
      </c>
      <c r="D64" s="6">
        <f>IF(B64="","",D69)</f>
        <v>2</v>
      </c>
      <c r="E64" s="49">
        <f>IF(B64="","",IF(D64=D69,E69,E69+14))</f>
        <v>45606</v>
      </c>
      <c r="G64" s="6">
        <f t="shared" ref="G64:G69" si="8">IF(B64="","",IF(AND(E64&gt;0,F64&gt;0),F64-E64,0))</f>
        <v>0</v>
      </c>
      <c r="L64" s="12">
        <f>IF(B64="","",IF(D64=D69,L69,IF(F64&gt;0,F64,"Not Delivered")))</f>
        <v>0</v>
      </c>
    </row>
    <row r="65" spans="1:13" ht="15.6" x14ac:dyDescent="0.3">
      <c r="A65" s="50">
        <f>IF(B65="","",IF(D65=D64,A64+1,(D65*100)))</f>
        <v>208</v>
      </c>
      <c r="B65" s="5" t="s">
        <v>111</v>
      </c>
      <c r="C65" s="6" t="s">
        <v>42</v>
      </c>
      <c r="D65" s="6">
        <f t="shared" ref="D65:D67" si="9">IF(B65="","",D64)</f>
        <v>2</v>
      </c>
      <c r="E65" s="49">
        <f>IF(B65="","",IF(D65=D64,E64,E64+14))</f>
        <v>45606</v>
      </c>
      <c r="G65" s="6">
        <f t="shared" si="8"/>
        <v>0</v>
      </c>
      <c r="L65" s="12">
        <f t="shared" ref="L65:L67" si="10">IF(B65="","",IF(D65=D64,L64,IF(F65&gt;0,F65,"Not Delivered")))</f>
        <v>0</v>
      </c>
    </row>
    <row r="66" spans="1:13" ht="15.6" x14ac:dyDescent="0.3">
      <c r="A66" s="50">
        <f>IF(B66="","",IF(D66=D65,A65+1,(D66*100)))</f>
        <v>209</v>
      </c>
      <c r="B66" s="5" t="s">
        <v>112</v>
      </c>
      <c r="C66" s="6" t="s">
        <v>113</v>
      </c>
      <c r="D66" s="6">
        <f t="shared" si="9"/>
        <v>2</v>
      </c>
      <c r="E66" s="49">
        <f>IF(B66="","",IF(D66=D65,E65,E65+14))</f>
        <v>45606</v>
      </c>
      <c r="G66" s="6">
        <f t="shared" si="8"/>
        <v>0</v>
      </c>
      <c r="L66" s="12">
        <f t="shared" si="10"/>
        <v>0</v>
      </c>
    </row>
    <row r="67" spans="1:13" ht="15.6" x14ac:dyDescent="0.3">
      <c r="A67" s="50">
        <f>IF(B67="","",IF(D67=D66,A66+1,(D67*100)))</f>
        <v>210</v>
      </c>
      <c r="B67" s="5" t="s">
        <v>114</v>
      </c>
      <c r="C67" s="6" t="s">
        <v>44</v>
      </c>
      <c r="D67" s="6">
        <f t="shared" si="9"/>
        <v>2</v>
      </c>
      <c r="E67" s="49">
        <f>IF(B67="","",IF(D67=D66,E66,E66+14))</f>
        <v>45606</v>
      </c>
      <c r="G67" s="6">
        <f t="shared" si="8"/>
        <v>0</v>
      </c>
      <c r="L67" s="12">
        <f t="shared" si="10"/>
        <v>0</v>
      </c>
    </row>
    <row r="68" spans="1:13" ht="15.6" x14ac:dyDescent="0.3">
      <c r="A68" s="50">
        <f>IF(B68="","",IF(D68=D63,A63+1,(D68*100)))</f>
        <v>205</v>
      </c>
      <c r="B68" s="5" t="s">
        <v>115</v>
      </c>
      <c r="C68" s="6" t="s">
        <v>44</v>
      </c>
      <c r="D68" s="6">
        <f>IF(B68="","",D63)</f>
        <v>2</v>
      </c>
      <c r="E68" s="49">
        <f>IF(B68="","",IF(D68=D63,E63,E63+14))</f>
        <v>45606</v>
      </c>
      <c r="G68" s="6">
        <f t="shared" si="8"/>
        <v>0</v>
      </c>
      <c r="L68" s="12">
        <f>IF(B68="","",IF(D68=D63,L63,IF(F68&gt;0,F68,"Not Delivered")))</f>
        <v>0</v>
      </c>
    </row>
    <row r="69" spans="1:13" ht="15.6" x14ac:dyDescent="0.3">
      <c r="A69" s="50">
        <f>IF(B69="","",IF(D69=D68,A68+1,(D69*100)))</f>
        <v>206</v>
      </c>
      <c r="B69" s="5" t="s">
        <v>116</v>
      </c>
      <c r="C69" s="6" t="s">
        <v>42</v>
      </c>
      <c r="D69" s="6">
        <f>IF(B69="","",D68)</f>
        <v>2</v>
      </c>
      <c r="E69" s="49">
        <f>IF(B69="","",IF(D69=D68,E68,E68+14))</f>
        <v>45606</v>
      </c>
      <c r="G69" s="6">
        <f t="shared" si="8"/>
        <v>0</v>
      </c>
      <c r="L69" s="12">
        <f>IF(B69="","",IF(D69=D68,L68,IF(F69&gt;0,F69,"Not Delivered")))</f>
        <v>0</v>
      </c>
    </row>
    <row r="70" spans="1:13" ht="15.6" x14ac:dyDescent="0.3">
      <c r="A70" s="50">
        <f t="shared" si="3"/>
        <v>207</v>
      </c>
      <c r="B70" s="5" t="s">
        <v>117</v>
      </c>
      <c r="C70" s="6" t="s">
        <v>44</v>
      </c>
      <c r="D70" s="6">
        <f t="shared" si="6"/>
        <v>2</v>
      </c>
      <c r="E70" s="49">
        <f t="shared" si="5"/>
        <v>45606</v>
      </c>
      <c r="G70" s="6">
        <f t="shared" si="4"/>
        <v>0</v>
      </c>
      <c r="L70" s="12">
        <f t="shared" si="7"/>
        <v>0</v>
      </c>
    </row>
    <row r="71" spans="1:13" ht="15.6" x14ac:dyDescent="0.3">
      <c r="A71" s="50">
        <f t="shared" si="3"/>
        <v>208</v>
      </c>
      <c r="B71" s="5" t="s">
        <v>56</v>
      </c>
      <c r="C71" s="6" t="s">
        <v>44</v>
      </c>
      <c r="D71" s="6">
        <f t="shared" si="6"/>
        <v>2</v>
      </c>
      <c r="E71" s="49">
        <f t="shared" si="5"/>
        <v>45606</v>
      </c>
      <c r="G71" s="6">
        <f t="shared" si="4"/>
        <v>0</v>
      </c>
      <c r="L71" s="12">
        <f t="shared" si="7"/>
        <v>0</v>
      </c>
    </row>
    <row r="72" spans="1:13" ht="15.6" x14ac:dyDescent="0.3">
      <c r="A72" s="50">
        <f t="shared" ref="A72" si="11">IF(B72="","",IF(D72=D71,A71+1,(D72*100)))</f>
        <v>209</v>
      </c>
      <c r="B72" s="5" t="s">
        <v>118</v>
      </c>
      <c r="C72" s="6" t="s">
        <v>45</v>
      </c>
      <c r="D72" s="6">
        <f t="shared" ref="D72" si="12">IF(B72="","",D71)</f>
        <v>2</v>
      </c>
      <c r="E72" s="49">
        <f t="shared" ref="E72" si="13">IF(B72="","",IF(D72=D71,E71,E71+14))</f>
        <v>45606</v>
      </c>
      <c r="G72" s="6">
        <f t="shared" ref="G72" si="14">IF(B72="","",IF(AND(E72&gt;0,F72&gt;0),F72-E72,0))</f>
        <v>0</v>
      </c>
      <c r="L72" s="12">
        <f t="shared" ref="L72" si="15">IF(B72="","",IF(D72=D71,L71,IF(F72&gt;0,F72,"Not Delivered")))</f>
        <v>0</v>
      </c>
    </row>
    <row r="73" spans="1:13" ht="19.05" customHeight="1" x14ac:dyDescent="0.3">
      <c r="A73" s="50">
        <f>IF(B73="","",IF(D73=Sheet1!D71,Sheet1!A71+1,(D73*100)))</f>
        <v>209</v>
      </c>
      <c r="B73" s="5" t="str">
        <f>"Iteration "&amp;D73&amp;" Test Report"</f>
        <v>Iteration 2 Test Report</v>
      </c>
      <c r="C73" s="6" t="s">
        <v>45</v>
      </c>
      <c r="D73" s="6">
        <v>2</v>
      </c>
      <c r="E73" s="49">
        <v>45607</v>
      </c>
      <c r="G73" s="6">
        <f>IF(B73="","",IF(AND(E73&gt;0,F73&gt;0),F73-E73,0))</f>
        <v>0</v>
      </c>
      <c r="L73" s="12"/>
      <c r="M73" s="24" t="s">
        <v>107</v>
      </c>
    </row>
    <row r="74" spans="1:13" ht="15.6" x14ac:dyDescent="0.3">
      <c r="A74" s="50" t="str">
        <f t="shared" si="3"/>
        <v/>
      </c>
      <c r="D74" s="6" t="str">
        <f t="shared" si="6"/>
        <v/>
      </c>
      <c r="E74" s="49" t="str">
        <f t="shared" si="5"/>
        <v/>
      </c>
      <c r="G74" s="6" t="str">
        <f t="shared" si="4"/>
        <v/>
      </c>
      <c r="L74" s="12" t="str">
        <f t="shared" si="7"/>
        <v/>
      </c>
    </row>
    <row r="75" spans="1:13" ht="15.6" x14ac:dyDescent="0.3">
      <c r="A75" s="50" t="str">
        <f t="shared" si="3"/>
        <v/>
      </c>
      <c r="D75" s="6" t="str">
        <f t="shared" si="6"/>
        <v/>
      </c>
      <c r="E75" s="49" t="str">
        <f t="shared" si="5"/>
        <v/>
      </c>
      <c r="G75" s="6" t="str">
        <f t="shared" si="4"/>
        <v/>
      </c>
      <c r="L75" s="12" t="str">
        <f t="shared" si="7"/>
        <v/>
      </c>
    </row>
    <row r="76" spans="1:13" ht="15.6" x14ac:dyDescent="0.3">
      <c r="A76" s="50" t="str">
        <f t="shared" si="3"/>
        <v/>
      </c>
      <c r="D76" s="6" t="str">
        <f t="shared" si="6"/>
        <v/>
      </c>
      <c r="E76" s="49" t="str">
        <f t="shared" si="5"/>
        <v/>
      </c>
      <c r="G76" s="6" t="str">
        <f t="shared" si="4"/>
        <v/>
      </c>
      <c r="L76" s="12" t="str">
        <f t="shared" si="7"/>
        <v/>
      </c>
    </row>
    <row r="77" spans="1:13" ht="15.6" x14ac:dyDescent="0.3">
      <c r="A77" s="50" t="str">
        <f t="shared" si="3"/>
        <v/>
      </c>
      <c r="D77" s="6" t="str">
        <f t="shared" si="6"/>
        <v/>
      </c>
      <c r="E77" s="49" t="str">
        <f t="shared" si="5"/>
        <v/>
      </c>
      <c r="G77" s="6" t="str">
        <f t="shared" si="4"/>
        <v/>
      </c>
      <c r="L77" s="12" t="str">
        <f t="shared" si="7"/>
        <v/>
      </c>
    </row>
    <row r="78" spans="1:13" ht="15.6" x14ac:dyDescent="0.3">
      <c r="A78" s="50" t="str">
        <f t="shared" si="3"/>
        <v/>
      </c>
      <c r="D78" s="6" t="str">
        <f t="shared" si="6"/>
        <v/>
      </c>
      <c r="E78" s="49" t="str">
        <f t="shared" si="5"/>
        <v/>
      </c>
      <c r="G78" s="6" t="str">
        <f t="shared" si="4"/>
        <v/>
      </c>
      <c r="L78" s="12" t="str">
        <f t="shared" si="7"/>
        <v/>
      </c>
    </row>
    <row r="79" spans="1:13" ht="15.6" x14ac:dyDescent="0.3">
      <c r="A79" s="50" t="str">
        <f t="shared" si="3"/>
        <v/>
      </c>
      <c r="D79" s="6" t="str">
        <f t="shared" si="6"/>
        <v/>
      </c>
      <c r="E79" s="49" t="str">
        <f t="shared" si="5"/>
        <v/>
      </c>
      <c r="G79" s="6" t="str">
        <f t="shared" si="4"/>
        <v/>
      </c>
      <c r="L79" s="12" t="str">
        <f t="shared" si="7"/>
        <v/>
      </c>
    </row>
    <row r="80" spans="1:13" ht="15.6" x14ac:dyDescent="0.3">
      <c r="A80" s="50" t="str">
        <f t="shared" si="3"/>
        <v/>
      </c>
      <c r="D80" s="6" t="str">
        <f t="shared" si="6"/>
        <v/>
      </c>
      <c r="E80" s="49" t="str">
        <f t="shared" si="5"/>
        <v/>
      </c>
      <c r="G80" s="6" t="str">
        <f t="shared" si="4"/>
        <v/>
      </c>
      <c r="L80" s="12" t="str">
        <f t="shared" si="7"/>
        <v/>
      </c>
    </row>
    <row r="81" spans="1:12" ht="15.6" x14ac:dyDescent="0.3">
      <c r="A81" s="50" t="str">
        <f t="shared" si="3"/>
        <v/>
      </c>
      <c r="D81" s="6" t="str">
        <f t="shared" si="6"/>
        <v/>
      </c>
      <c r="E81" s="49" t="str">
        <f t="shared" si="5"/>
        <v/>
      </c>
      <c r="G81" s="6" t="str">
        <f t="shared" si="4"/>
        <v/>
      </c>
      <c r="L81" s="12" t="str">
        <f t="shared" si="7"/>
        <v/>
      </c>
    </row>
    <row r="82" spans="1:12" ht="15.6" x14ac:dyDescent="0.3">
      <c r="A82" s="50" t="str">
        <f t="shared" si="3"/>
        <v/>
      </c>
      <c r="D82" s="6" t="str">
        <f t="shared" si="6"/>
        <v/>
      </c>
      <c r="E82" s="49" t="str">
        <f t="shared" si="5"/>
        <v/>
      </c>
      <c r="G82" s="6" t="str">
        <f t="shared" si="4"/>
        <v/>
      </c>
      <c r="L82" s="12" t="str">
        <f t="shared" si="7"/>
        <v/>
      </c>
    </row>
    <row r="83" spans="1:12" ht="15.6" x14ac:dyDescent="0.3">
      <c r="A83" s="50" t="str">
        <f t="shared" si="3"/>
        <v/>
      </c>
      <c r="D83" s="6" t="str">
        <f t="shared" si="6"/>
        <v/>
      </c>
      <c r="E83" s="49" t="str">
        <f t="shared" si="5"/>
        <v/>
      </c>
      <c r="G83" s="6" t="str">
        <f t="shared" si="4"/>
        <v/>
      </c>
      <c r="L83" s="12" t="str">
        <f t="shared" si="7"/>
        <v/>
      </c>
    </row>
    <row r="84" spans="1:12" ht="15.6" x14ac:dyDescent="0.3">
      <c r="A84" s="50" t="str">
        <f t="shared" si="3"/>
        <v/>
      </c>
      <c r="D84" s="6" t="str">
        <f t="shared" si="6"/>
        <v/>
      </c>
      <c r="E84" s="49" t="str">
        <f t="shared" si="5"/>
        <v/>
      </c>
      <c r="G84" s="6" t="str">
        <f t="shared" si="4"/>
        <v/>
      </c>
      <c r="L84" s="12" t="str">
        <f t="shared" si="7"/>
        <v/>
      </c>
    </row>
    <row r="85" spans="1:12" ht="15.6" x14ac:dyDescent="0.3">
      <c r="A85" s="50" t="str">
        <f t="shared" si="3"/>
        <v/>
      </c>
      <c r="D85" s="6" t="str">
        <f t="shared" si="6"/>
        <v/>
      </c>
      <c r="E85" s="49" t="str">
        <f t="shared" si="5"/>
        <v/>
      </c>
      <c r="G85" s="6" t="str">
        <f t="shared" si="4"/>
        <v/>
      </c>
      <c r="L85" s="12" t="str">
        <f t="shared" si="7"/>
        <v/>
      </c>
    </row>
    <row r="86" spans="1:12" ht="15.6" x14ac:dyDescent="0.3">
      <c r="A86" s="50" t="str">
        <f t="shared" si="3"/>
        <v/>
      </c>
      <c r="D86" s="6" t="str">
        <f t="shared" si="6"/>
        <v/>
      </c>
      <c r="E86" s="49" t="str">
        <f t="shared" si="5"/>
        <v/>
      </c>
      <c r="G86" s="6" t="str">
        <f t="shared" si="4"/>
        <v/>
      </c>
      <c r="L86" s="12" t="str">
        <f t="shared" si="7"/>
        <v/>
      </c>
    </row>
    <row r="87" spans="1:12" ht="15.6" x14ac:dyDescent="0.3">
      <c r="A87" s="50" t="str">
        <f t="shared" si="3"/>
        <v/>
      </c>
      <c r="D87" s="6" t="str">
        <f t="shared" si="6"/>
        <v/>
      </c>
      <c r="E87" s="49" t="str">
        <f t="shared" si="5"/>
        <v/>
      </c>
      <c r="G87" s="6" t="str">
        <f t="shared" si="4"/>
        <v/>
      </c>
      <c r="L87" s="12" t="str">
        <f t="shared" si="7"/>
        <v/>
      </c>
    </row>
    <row r="88" spans="1:12" ht="15.6" x14ac:dyDescent="0.3">
      <c r="A88" s="50" t="str">
        <f t="shared" si="3"/>
        <v/>
      </c>
      <c r="D88" s="6" t="str">
        <f t="shared" si="6"/>
        <v/>
      </c>
      <c r="E88" s="49" t="str">
        <f t="shared" si="5"/>
        <v/>
      </c>
      <c r="G88" s="6" t="str">
        <f t="shared" si="4"/>
        <v/>
      </c>
      <c r="L88" s="12" t="str">
        <f t="shared" si="7"/>
        <v/>
      </c>
    </row>
    <row r="89" spans="1:12" ht="15.6" x14ac:dyDescent="0.3">
      <c r="A89" s="50" t="str">
        <f t="shared" si="3"/>
        <v/>
      </c>
      <c r="D89" s="6" t="str">
        <f t="shared" si="6"/>
        <v/>
      </c>
      <c r="E89" s="49" t="str">
        <f t="shared" si="5"/>
        <v/>
      </c>
      <c r="G89" s="6" t="str">
        <f t="shared" si="4"/>
        <v/>
      </c>
      <c r="L89" s="12" t="str">
        <f t="shared" si="7"/>
        <v/>
      </c>
    </row>
    <row r="90" spans="1:12" ht="15.6" x14ac:dyDescent="0.3">
      <c r="A90" s="50" t="str">
        <f t="shared" si="3"/>
        <v/>
      </c>
      <c r="D90" s="6" t="str">
        <f t="shared" si="6"/>
        <v/>
      </c>
      <c r="E90" s="49" t="str">
        <f t="shared" si="5"/>
        <v/>
      </c>
      <c r="G90" s="6" t="str">
        <f t="shared" si="4"/>
        <v/>
      </c>
      <c r="L90" s="12" t="str">
        <f t="shared" si="7"/>
        <v/>
      </c>
    </row>
    <row r="91" spans="1:12" ht="15.6" x14ac:dyDescent="0.3">
      <c r="A91" s="50" t="str">
        <f t="shared" si="3"/>
        <v/>
      </c>
      <c r="D91" s="6" t="str">
        <f t="shared" si="6"/>
        <v/>
      </c>
      <c r="E91" s="49" t="str">
        <f t="shared" si="5"/>
        <v/>
      </c>
      <c r="G91" s="6" t="str">
        <f t="shared" si="4"/>
        <v/>
      </c>
      <c r="L91" s="12" t="str">
        <f t="shared" si="7"/>
        <v/>
      </c>
    </row>
    <row r="92" spans="1:12" ht="15.6" x14ac:dyDescent="0.3">
      <c r="A92" s="50" t="str">
        <f t="shared" si="3"/>
        <v/>
      </c>
      <c r="D92" s="6" t="str">
        <f t="shared" si="6"/>
        <v/>
      </c>
      <c r="E92" s="49" t="str">
        <f t="shared" si="5"/>
        <v/>
      </c>
      <c r="G92" s="6" t="str">
        <f t="shared" si="4"/>
        <v/>
      </c>
      <c r="L92" s="12" t="str">
        <f t="shared" si="7"/>
        <v/>
      </c>
    </row>
    <row r="93" spans="1:12" ht="15.6" x14ac:dyDescent="0.3">
      <c r="A93" s="50" t="str">
        <f t="shared" si="3"/>
        <v/>
      </c>
      <c r="D93" s="6" t="str">
        <f t="shared" si="6"/>
        <v/>
      </c>
      <c r="E93" s="49" t="str">
        <f t="shared" si="5"/>
        <v/>
      </c>
      <c r="G93" s="6" t="str">
        <f t="shared" si="4"/>
        <v/>
      </c>
      <c r="L93" s="12" t="str">
        <f t="shared" si="7"/>
        <v/>
      </c>
    </row>
    <row r="94" spans="1:12" ht="15.6" x14ac:dyDescent="0.3">
      <c r="A94" s="50" t="str">
        <f t="shared" si="3"/>
        <v/>
      </c>
      <c r="D94" s="6" t="str">
        <f t="shared" si="6"/>
        <v/>
      </c>
      <c r="E94" s="49" t="str">
        <f t="shared" si="5"/>
        <v/>
      </c>
      <c r="G94" s="6" t="str">
        <f t="shared" si="4"/>
        <v/>
      </c>
      <c r="L94" s="12" t="str">
        <f t="shared" si="7"/>
        <v/>
      </c>
    </row>
    <row r="95" spans="1:12" ht="15.6" x14ac:dyDescent="0.3">
      <c r="A95" s="50" t="str">
        <f t="shared" si="3"/>
        <v/>
      </c>
      <c r="D95" s="6" t="str">
        <f t="shared" si="6"/>
        <v/>
      </c>
      <c r="E95" s="49" t="str">
        <f t="shared" si="5"/>
        <v/>
      </c>
      <c r="G95" s="6" t="str">
        <f t="shared" si="4"/>
        <v/>
      </c>
      <c r="L95" s="12" t="str">
        <f t="shared" si="7"/>
        <v/>
      </c>
    </row>
    <row r="96" spans="1:12" ht="15.6" x14ac:dyDescent="0.3">
      <c r="A96" s="50" t="str">
        <f t="shared" si="3"/>
        <v/>
      </c>
      <c r="D96" s="6" t="str">
        <f t="shared" si="6"/>
        <v/>
      </c>
      <c r="E96" s="49" t="str">
        <f t="shared" si="5"/>
        <v/>
      </c>
      <c r="G96" s="6" t="str">
        <f t="shared" si="4"/>
        <v/>
      </c>
      <c r="L96" s="12" t="str">
        <f t="shared" si="7"/>
        <v/>
      </c>
    </row>
    <row r="97" spans="1:12" ht="15.6" x14ac:dyDescent="0.3">
      <c r="A97" s="50" t="str">
        <f t="shared" si="3"/>
        <v/>
      </c>
      <c r="D97" s="6" t="str">
        <f t="shared" si="6"/>
        <v/>
      </c>
      <c r="E97" s="49" t="str">
        <f t="shared" si="5"/>
        <v/>
      </c>
      <c r="G97" s="6" t="str">
        <f t="shared" si="4"/>
        <v/>
      </c>
      <c r="L97" s="12" t="str">
        <f t="shared" si="7"/>
        <v/>
      </c>
    </row>
    <row r="98" spans="1:12" ht="15.6" x14ac:dyDescent="0.3">
      <c r="A98" s="50" t="str">
        <f t="shared" si="3"/>
        <v/>
      </c>
      <c r="D98" s="6" t="str">
        <f t="shared" si="6"/>
        <v/>
      </c>
      <c r="E98" s="49" t="str">
        <f t="shared" si="5"/>
        <v/>
      </c>
      <c r="G98" s="6" t="str">
        <f t="shared" si="4"/>
        <v/>
      </c>
      <c r="L98" s="12" t="str">
        <f t="shared" si="7"/>
        <v/>
      </c>
    </row>
    <row r="99" spans="1:12" ht="15.6" x14ac:dyDescent="0.3">
      <c r="A99" s="50" t="str">
        <f t="shared" si="3"/>
        <v/>
      </c>
      <c r="D99" s="6" t="str">
        <f t="shared" si="6"/>
        <v/>
      </c>
      <c r="E99" s="49" t="str">
        <f t="shared" si="5"/>
        <v/>
      </c>
      <c r="G99" s="6" t="str">
        <f t="shared" si="4"/>
        <v/>
      </c>
      <c r="L99" s="12" t="str">
        <f t="shared" si="7"/>
        <v/>
      </c>
    </row>
    <row r="100" spans="1:12" ht="15.6" x14ac:dyDescent="0.3">
      <c r="A100" s="50" t="str">
        <f t="shared" si="3"/>
        <v/>
      </c>
      <c r="D100" s="6" t="str">
        <f t="shared" si="6"/>
        <v/>
      </c>
      <c r="E100" s="49" t="str">
        <f t="shared" si="5"/>
        <v/>
      </c>
      <c r="G100" s="6" t="str">
        <f t="shared" si="4"/>
        <v/>
      </c>
      <c r="L100" s="12" t="str">
        <f t="shared" si="7"/>
        <v/>
      </c>
    </row>
    <row r="101" spans="1:12" ht="15.6" x14ac:dyDescent="0.3">
      <c r="A101" s="50" t="str">
        <f t="shared" si="3"/>
        <v/>
      </c>
      <c r="D101" s="6" t="str">
        <f t="shared" si="6"/>
        <v/>
      </c>
      <c r="E101" s="49" t="str">
        <f t="shared" si="5"/>
        <v/>
      </c>
      <c r="G101" s="6" t="str">
        <f t="shared" si="4"/>
        <v/>
      </c>
      <c r="L101" s="12" t="str">
        <f t="shared" si="7"/>
        <v/>
      </c>
    </row>
    <row r="102" spans="1:12" ht="15.6" x14ac:dyDescent="0.3">
      <c r="A102" s="50" t="str">
        <f t="shared" si="3"/>
        <v/>
      </c>
      <c r="D102" s="6" t="str">
        <f t="shared" si="6"/>
        <v/>
      </c>
      <c r="E102" s="49" t="str">
        <f t="shared" si="5"/>
        <v/>
      </c>
      <c r="G102" s="6" t="str">
        <f t="shared" si="4"/>
        <v/>
      </c>
      <c r="L102" s="12" t="str">
        <f t="shared" si="7"/>
        <v/>
      </c>
    </row>
    <row r="103" spans="1:12" ht="15.6" x14ac:dyDescent="0.3">
      <c r="A103" s="50" t="str">
        <f t="shared" si="3"/>
        <v/>
      </c>
      <c r="D103" s="6" t="str">
        <f t="shared" si="6"/>
        <v/>
      </c>
      <c r="E103" s="49" t="str">
        <f t="shared" si="5"/>
        <v/>
      </c>
      <c r="G103" s="6" t="str">
        <f t="shared" si="4"/>
        <v/>
      </c>
      <c r="L103" s="12" t="str">
        <f t="shared" si="7"/>
        <v/>
      </c>
    </row>
    <row r="104" spans="1:12" ht="15.6" x14ac:dyDescent="0.3">
      <c r="A104" s="50" t="str">
        <f t="shared" si="3"/>
        <v/>
      </c>
      <c r="D104" s="6" t="str">
        <f t="shared" si="6"/>
        <v/>
      </c>
      <c r="E104" s="49" t="str">
        <f t="shared" si="5"/>
        <v/>
      </c>
      <c r="G104" s="6" t="str">
        <f t="shared" si="4"/>
        <v/>
      </c>
      <c r="L104" s="12" t="str">
        <f t="shared" si="7"/>
        <v/>
      </c>
    </row>
    <row r="105" spans="1:12" ht="15.6" x14ac:dyDescent="0.3">
      <c r="A105" s="50" t="str">
        <f t="shared" si="3"/>
        <v/>
      </c>
      <c r="D105" s="6" t="str">
        <f t="shared" si="6"/>
        <v/>
      </c>
      <c r="E105" s="49" t="str">
        <f t="shared" si="5"/>
        <v/>
      </c>
      <c r="G105" s="6" t="str">
        <f t="shared" si="4"/>
        <v/>
      </c>
      <c r="L105" s="12" t="str">
        <f t="shared" si="7"/>
        <v/>
      </c>
    </row>
    <row r="106" spans="1:12" ht="15.6" x14ac:dyDescent="0.3">
      <c r="A106" s="50" t="str">
        <f t="shared" si="3"/>
        <v/>
      </c>
      <c r="D106" s="6" t="str">
        <f t="shared" si="6"/>
        <v/>
      </c>
      <c r="E106" s="49" t="str">
        <f t="shared" si="5"/>
        <v/>
      </c>
      <c r="G106" s="6" t="str">
        <f t="shared" si="4"/>
        <v/>
      </c>
      <c r="L106" s="12" t="str">
        <f t="shared" si="7"/>
        <v/>
      </c>
    </row>
    <row r="107" spans="1:12" ht="15.6" x14ac:dyDescent="0.3">
      <c r="A107" s="50" t="str">
        <f t="shared" si="3"/>
        <v/>
      </c>
      <c r="D107" s="6" t="str">
        <f t="shared" si="6"/>
        <v/>
      </c>
      <c r="E107" s="49" t="str">
        <f t="shared" si="5"/>
        <v/>
      </c>
      <c r="G107" s="6" t="str">
        <f t="shared" si="4"/>
        <v/>
      </c>
      <c r="L107" s="12" t="str">
        <f t="shared" si="7"/>
        <v/>
      </c>
    </row>
    <row r="108" spans="1:12" ht="15.6" x14ac:dyDescent="0.3">
      <c r="A108" s="50" t="str">
        <f t="shared" si="3"/>
        <v/>
      </c>
      <c r="D108" s="6" t="str">
        <f t="shared" si="6"/>
        <v/>
      </c>
      <c r="E108" s="49" t="str">
        <f t="shared" si="5"/>
        <v/>
      </c>
      <c r="G108" s="6" t="str">
        <f t="shared" si="4"/>
        <v/>
      </c>
      <c r="L108" s="12" t="str">
        <f t="shared" si="7"/>
        <v/>
      </c>
    </row>
    <row r="109" spans="1:12" ht="15.6" x14ac:dyDescent="0.3">
      <c r="A109" s="50" t="str">
        <f t="shared" si="3"/>
        <v/>
      </c>
      <c r="D109" s="6" t="str">
        <f t="shared" si="6"/>
        <v/>
      </c>
      <c r="E109" s="49" t="str">
        <f t="shared" si="5"/>
        <v/>
      </c>
      <c r="G109" s="6" t="str">
        <f t="shared" si="4"/>
        <v/>
      </c>
      <c r="L109" s="12" t="str">
        <f t="shared" si="7"/>
        <v/>
      </c>
    </row>
    <row r="110" spans="1:12" ht="15.6" x14ac:dyDescent="0.3">
      <c r="A110" s="50" t="str">
        <f t="shared" si="3"/>
        <v/>
      </c>
      <c r="D110" s="6" t="str">
        <f t="shared" si="6"/>
        <v/>
      </c>
      <c r="E110" s="49" t="str">
        <f t="shared" si="5"/>
        <v/>
      </c>
      <c r="G110" s="6" t="str">
        <f t="shared" si="4"/>
        <v/>
      </c>
      <c r="L110" s="12" t="str">
        <f t="shared" si="7"/>
        <v/>
      </c>
    </row>
    <row r="111" spans="1:12" ht="15.6" x14ac:dyDescent="0.3">
      <c r="A111" s="50" t="str">
        <f t="shared" si="3"/>
        <v/>
      </c>
      <c r="D111" s="6" t="str">
        <f t="shared" si="6"/>
        <v/>
      </c>
      <c r="E111" s="49" t="str">
        <f t="shared" si="5"/>
        <v/>
      </c>
      <c r="G111" s="6" t="str">
        <f t="shared" si="4"/>
        <v/>
      </c>
      <c r="L111" s="12" t="str">
        <f t="shared" si="7"/>
        <v/>
      </c>
    </row>
    <row r="112" spans="1:12" ht="15.6" x14ac:dyDescent="0.3">
      <c r="A112" s="50" t="str">
        <f t="shared" si="3"/>
        <v/>
      </c>
      <c r="D112" s="6" t="str">
        <f t="shared" si="6"/>
        <v/>
      </c>
      <c r="E112" s="49" t="str">
        <f t="shared" si="5"/>
        <v/>
      </c>
      <c r="G112" s="6" t="str">
        <f t="shared" si="4"/>
        <v/>
      </c>
      <c r="L112" s="12" t="str">
        <f t="shared" si="7"/>
        <v/>
      </c>
    </row>
    <row r="113" spans="1:12" ht="15.6" x14ac:dyDescent="0.3">
      <c r="A113" s="50" t="str">
        <f t="shared" ref="A113:A170" si="16">IF(B113="","",IF(D113=D112,A112+1,(D113*100)))</f>
        <v/>
      </c>
      <c r="D113" s="6" t="str">
        <f t="shared" si="6"/>
        <v/>
      </c>
      <c r="E113" s="49" t="str">
        <f t="shared" si="5"/>
        <v/>
      </c>
      <c r="G113" s="6" t="str">
        <f t="shared" ref="G113:G170" si="17">IF(B113="","",IF(AND(E113&gt;0,F113&gt;0),F113-E113,0))</f>
        <v/>
      </c>
      <c r="L113" s="12" t="str">
        <f t="shared" ref="L113:L170" si="18">IF(B113="","",IF(D113=D112,L112,IF(F113&gt;0,F113,"Not Delivered")))</f>
        <v/>
      </c>
    </row>
    <row r="114" spans="1:12" ht="15.6" x14ac:dyDescent="0.3">
      <c r="A114" s="50" t="str">
        <f t="shared" si="16"/>
        <v/>
      </c>
      <c r="D114" s="6" t="str">
        <f t="shared" si="6"/>
        <v/>
      </c>
      <c r="E114" s="49" t="str">
        <f t="shared" si="5"/>
        <v/>
      </c>
      <c r="G114" s="6" t="str">
        <f t="shared" si="17"/>
        <v/>
      </c>
      <c r="L114" s="12" t="str">
        <f t="shared" si="18"/>
        <v/>
      </c>
    </row>
    <row r="115" spans="1:12" ht="15.6" x14ac:dyDescent="0.3">
      <c r="A115" s="50" t="str">
        <f t="shared" si="16"/>
        <v/>
      </c>
      <c r="D115" s="6" t="str">
        <f t="shared" si="6"/>
        <v/>
      </c>
      <c r="E115" s="49" t="str">
        <f t="shared" si="5"/>
        <v/>
      </c>
      <c r="G115" s="6" t="str">
        <f t="shared" si="17"/>
        <v/>
      </c>
      <c r="L115" s="12" t="str">
        <f t="shared" si="18"/>
        <v/>
      </c>
    </row>
    <row r="116" spans="1:12" ht="15.6" x14ac:dyDescent="0.3">
      <c r="A116" s="50" t="str">
        <f t="shared" si="16"/>
        <v/>
      </c>
      <c r="D116" s="6" t="str">
        <f t="shared" si="6"/>
        <v/>
      </c>
      <c r="E116" s="49" t="str">
        <f t="shared" si="5"/>
        <v/>
      </c>
      <c r="G116" s="6" t="str">
        <f t="shared" si="17"/>
        <v/>
      </c>
      <c r="L116" s="12" t="str">
        <f t="shared" si="18"/>
        <v/>
      </c>
    </row>
    <row r="117" spans="1:12" ht="15.6" x14ac:dyDescent="0.3">
      <c r="A117" s="50" t="str">
        <f t="shared" si="16"/>
        <v/>
      </c>
      <c r="D117" s="6" t="str">
        <f t="shared" si="6"/>
        <v/>
      </c>
      <c r="E117" s="49" t="str">
        <f t="shared" si="5"/>
        <v/>
      </c>
      <c r="G117" s="6" t="str">
        <f t="shared" si="17"/>
        <v/>
      </c>
      <c r="L117" s="12" t="str">
        <f t="shared" si="18"/>
        <v/>
      </c>
    </row>
    <row r="118" spans="1:12" ht="15.6" x14ac:dyDescent="0.3">
      <c r="A118" s="50" t="str">
        <f t="shared" si="16"/>
        <v/>
      </c>
      <c r="D118" s="6" t="str">
        <f t="shared" si="6"/>
        <v/>
      </c>
      <c r="E118" s="49" t="str">
        <f t="shared" si="5"/>
        <v/>
      </c>
      <c r="G118" s="6" t="str">
        <f t="shared" si="17"/>
        <v/>
      </c>
      <c r="L118" s="12" t="str">
        <f t="shared" si="18"/>
        <v/>
      </c>
    </row>
    <row r="119" spans="1:12" ht="15.6" x14ac:dyDescent="0.3">
      <c r="A119" s="50" t="str">
        <f t="shared" si="16"/>
        <v/>
      </c>
      <c r="D119" s="6" t="str">
        <f t="shared" si="6"/>
        <v/>
      </c>
      <c r="E119" s="49" t="str">
        <f t="shared" si="5"/>
        <v/>
      </c>
      <c r="G119" s="6" t="str">
        <f t="shared" si="17"/>
        <v/>
      </c>
      <c r="L119" s="12" t="str">
        <f t="shared" si="18"/>
        <v/>
      </c>
    </row>
    <row r="120" spans="1:12" ht="15.6" x14ac:dyDescent="0.3">
      <c r="A120" s="50" t="str">
        <f t="shared" si="16"/>
        <v/>
      </c>
      <c r="D120" s="6" t="str">
        <f t="shared" si="6"/>
        <v/>
      </c>
      <c r="E120" s="49" t="str">
        <f t="shared" si="5"/>
        <v/>
      </c>
      <c r="G120" s="6" t="str">
        <f t="shared" si="17"/>
        <v/>
      </c>
      <c r="L120" s="12" t="str">
        <f t="shared" si="18"/>
        <v/>
      </c>
    </row>
    <row r="121" spans="1:12" ht="15.6" x14ac:dyDescent="0.3">
      <c r="A121" s="50" t="str">
        <f t="shared" si="16"/>
        <v/>
      </c>
      <c r="D121" s="6" t="str">
        <f t="shared" si="6"/>
        <v/>
      </c>
      <c r="E121" s="49" t="str">
        <f t="shared" ref="E121:E170" si="19">IF(B121="","",IF(D121=D120,E120,E120+14))</f>
        <v/>
      </c>
      <c r="G121" s="6" t="str">
        <f t="shared" si="17"/>
        <v/>
      </c>
      <c r="L121" s="12" t="str">
        <f t="shared" si="18"/>
        <v/>
      </c>
    </row>
    <row r="122" spans="1:12" ht="15.6" x14ac:dyDescent="0.3">
      <c r="A122" s="50" t="str">
        <f t="shared" si="16"/>
        <v/>
      </c>
      <c r="D122" s="6" t="str">
        <f t="shared" si="6"/>
        <v/>
      </c>
      <c r="E122" s="49" t="str">
        <f t="shared" si="19"/>
        <v/>
      </c>
      <c r="G122" s="6" t="str">
        <f t="shared" si="17"/>
        <v/>
      </c>
      <c r="L122" s="12" t="str">
        <f t="shared" si="18"/>
        <v/>
      </c>
    </row>
    <row r="123" spans="1:12" ht="15.6" x14ac:dyDescent="0.3">
      <c r="A123" s="50" t="str">
        <f t="shared" si="16"/>
        <v/>
      </c>
      <c r="D123" s="6" t="str">
        <f t="shared" si="6"/>
        <v/>
      </c>
      <c r="E123" s="49" t="str">
        <f t="shared" si="19"/>
        <v/>
      </c>
      <c r="G123" s="6" t="str">
        <f t="shared" si="17"/>
        <v/>
      </c>
      <c r="L123" s="12" t="str">
        <f t="shared" si="18"/>
        <v/>
      </c>
    </row>
    <row r="124" spans="1:12" ht="15.6" x14ac:dyDescent="0.3">
      <c r="A124" s="50" t="str">
        <f t="shared" si="16"/>
        <v/>
      </c>
      <c r="D124" s="6" t="str">
        <f t="shared" si="6"/>
        <v/>
      </c>
      <c r="E124" s="49" t="str">
        <f t="shared" si="19"/>
        <v/>
      </c>
      <c r="G124" s="6" t="str">
        <f t="shared" si="17"/>
        <v/>
      </c>
      <c r="L124" s="12" t="str">
        <f t="shared" si="18"/>
        <v/>
      </c>
    </row>
    <row r="125" spans="1:12" ht="15.6" x14ac:dyDescent="0.3">
      <c r="A125" s="50" t="str">
        <f t="shared" si="16"/>
        <v/>
      </c>
      <c r="D125" s="6" t="str">
        <f t="shared" ref="D125:D170" si="20">IF(B125="","",D124)</f>
        <v/>
      </c>
      <c r="E125" s="49" t="str">
        <f t="shared" si="19"/>
        <v/>
      </c>
      <c r="G125" s="6" t="str">
        <f t="shared" si="17"/>
        <v/>
      </c>
      <c r="L125" s="12" t="str">
        <f t="shared" si="18"/>
        <v/>
      </c>
    </row>
    <row r="126" spans="1:12" ht="15.6" x14ac:dyDescent="0.3">
      <c r="A126" s="50" t="str">
        <f t="shared" si="16"/>
        <v/>
      </c>
      <c r="D126" s="6" t="str">
        <f t="shared" si="20"/>
        <v/>
      </c>
      <c r="E126" s="49" t="str">
        <f t="shared" si="19"/>
        <v/>
      </c>
      <c r="G126" s="6" t="str">
        <f t="shared" si="17"/>
        <v/>
      </c>
      <c r="L126" s="12" t="str">
        <f t="shared" si="18"/>
        <v/>
      </c>
    </row>
    <row r="127" spans="1:12" ht="15.6" x14ac:dyDescent="0.3">
      <c r="A127" s="50" t="str">
        <f t="shared" si="16"/>
        <v/>
      </c>
      <c r="D127" s="6" t="str">
        <f t="shared" si="20"/>
        <v/>
      </c>
      <c r="E127" s="49" t="str">
        <f t="shared" si="19"/>
        <v/>
      </c>
      <c r="G127" s="6" t="str">
        <f t="shared" si="17"/>
        <v/>
      </c>
      <c r="L127" s="12" t="str">
        <f t="shared" si="18"/>
        <v/>
      </c>
    </row>
    <row r="128" spans="1:12" ht="15.6" x14ac:dyDescent="0.3">
      <c r="A128" s="50" t="str">
        <f t="shared" si="16"/>
        <v/>
      </c>
      <c r="D128" s="6" t="str">
        <f t="shared" si="20"/>
        <v/>
      </c>
      <c r="E128" s="49" t="str">
        <f t="shared" si="19"/>
        <v/>
      </c>
      <c r="G128" s="6" t="str">
        <f t="shared" si="17"/>
        <v/>
      </c>
      <c r="L128" s="12" t="str">
        <f t="shared" si="18"/>
        <v/>
      </c>
    </row>
    <row r="129" spans="1:12" ht="15.6" x14ac:dyDescent="0.3">
      <c r="A129" s="50" t="str">
        <f t="shared" si="16"/>
        <v/>
      </c>
      <c r="D129" s="6" t="str">
        <f t="shared" si="20"/>
        <v/>
      </c>
      <c r="E129" s="49" t="str">
        <f t="shared" si="19"/>
        <v/>
      </c>
      <c r="G129" s="6" t="str">
        <f t="shared" si="17"/>
        <v/>
      </c>
      <c r="L129" s="12" t="str">
        <f t="shared" si="18"/>
        <v/>
      </c>
    </row>
    <row r="130" spans="1:12" ht="15.6" x14ac:dyDescent="0.3">
      <c r="A130" s="50" t="str">
        <f t="shared" si="16"/>
        <v/>
      </c>
      <c r="D130" s="6" t="str">
        <f t="shared" si="20"/>
        <v/>
      </c>
      <c r="E130" s="49" t="str">
        <f t="shared" si="19"/>
        <v/>
      </c>
      <c r="G130" s="6" t="str">
        <f t="shared" si="17"/>
        <v/>
      </c>
      <c r="L130" s="12" t="str">
        <f t="shared" si="18"/>
        <v/>
      </c>
    </row>
    <row r="131" spans="1:12" ht="15.6" x14ac:dyDescent="0.3">
      <c r="A131" s="50" t="str">
        <f t="shared" si="16"/>
        <v/>
      </c>
      <c r="D131" s="6" t="str">
        <f t="shared" si="20"/>
        <v/>
      </c>
      <c r="E131" s="49" t="str">
        <f t="shared" si="19"/>
        <v/>
      </c>
      <c r="G131" s="6" t="str">
        <f t="shared" si="17"/>
        <v/>
      </c>
      <c r="L131" s="12" t="str">
        <f t="shared" si="18"/>
        <v/>
      </c>
    </row>
    <row r="132" spans="1:12" ht="15.6" x14ac:dyDescent="0.3">
      <c r="A132" s="50" t="str">
        <f t="shared" si="16"/>
        <v/>
      </c>
      <c r="D132" s="6" t="str">
        <f t="shared" si="20"/>
        <v/>
      </c>
      <c r="E132" s="49" t="str">
        <f t="shared" si="19"/>
        <v/>
      </c>
      <c r="G132" s="6" t="str">
        <f t="shared" si="17"/>
        <v/>
      </c>
      <c r="L132" s="12" t="str">
        <f t="shared" si="18"/>
        <v/>
      </c>
    </row>
    <row r="133" spans="1:12" ht="15.6" x14ac:dyDescent="0.3">
      <c r="A133" s="50" t="str">
        <f t="shared" si="16"/>
        <v/>
      </c>
      <c r="D133" s="6" t="str">
        <f t="shared" si="20"/>
        <v/>
      </c>
      <c r="E133" s="49" t="str">
        <f t="shared" si="19"/>
        <v/>
      </c>
      <c r="G133" s="6" t="str">
        <f t="shared" si="17"/>
        <v/>
      </c>
      <c r="L133" s="12" t="str">
        <f t="shared" si="18"/>
        <v/>
      </c>
    </row>
    <row r="134" spans="1:12" ht="15.6" x14ac:dyDescent="0.3">
      <c r="A134" s="50" t="str">
        <f t="shared" si="16"/>
        <v/>
      </c>
      <c r="D134" s="6" t="str">
        <f t="shared" si="20"/>
        <v/>
      </c>
      <c r="E134" s="49" t="str">
        <f t="shared" si="19"/>
        <v/>
      </c>
      <c r="G134" s="6" t="str">
        <f t="shared" si="17"/>
        <v/>
      </c>
      <c r="L134" s="12" t="str">
        <f t="shared" si="18"/>
        <v/>
      </c>
    </row>
    <row r="135" spans="1:12" ht="15.6" x14ac:dyDescent="0.3">
      <c r="A135" s="50" t="str">
        <f t="shared" si="16"/>
        <v/>
      </c>
      <c r="D135" s="6" t="str">
        <f t="shared" si="20"/>
        <v/>
      </c>
      <c r="E135" s="49" t="str">
        <f t="shared" si="19"/>
        <v/>
      </c>
      <c r="G135" s="6" t="str">
        <f t="shared" si="17"/>
        <v/>
      </c>
      <c r="L135" s="12" t="str">
        <f t="shared" si="18"/>
        <v/>
      </c>
    </row>
    <row r="136" spans="1:12" ht="15.6" x14ac:dyDescent="0.3">
      <c r="A136" s="50" t="str">
        <f t="shared" si="16"/>
        <v/>
      </c>
      <c r="D136" s="6" t="str">
        <f t="shared" si="20"/>
        <v/>
      </c>
      <c r="E136" s="49" t="str">
        <f t="shared" si="19"/>
        <v/>
      </c>
      <c r="G136" s="6" t="str">
        <f t="shared" si="17"/>
        <v/>
      </c>
      <c r="L136" s="12" t="str">
        <f t="shared" si="18"/>
        <v/>
      </c>
    </row>
    <row r="137" spans="1:12" ht="15.6" x14ac:dyDescent="0.3">
      <c r="A137" s="50" t="str">
        <f t="shared" si="16"/>
        <v/>
      </c>
      <c r="D137" s="6" t="str">
        <f t="shared" si="20"/>
        <v/>
      </c>
      <c r="E137" s="49" t="str">
        <f t="shared" si="19"/>
        <v/>
      </c>
      <c r="G137" s="6" t="str">
        <f t="shared" si="17"/>
        <v/>
      </c>
      <c r="L137" s="12" t="str">
        <f t="shared" si="18"/>
        <v/>
      </c>
    </row>
    <row r="138" spans="1:12" ht="15.6" x14ac:dyDescent="0.3">
      <c r="A138" s="50" t="str">
        <f t="shared" si="16"/>
        <v/>
      </c>
      <c r="D138" s="6" t="str">
        <f t="shared" si="20"/>
        <v/>
      </c>
      <c r="E138" s="49" t="str">
        <f t="shared" si="19"/>
        <v/>
      </c>
      <c r="G138" s="6" t="str">
        <f t="shared" si="17"/>
        <v/>
      </c>
      <c r="L138" s="12" t="str">
        <f t="shared" si="18"/>
        <v/>
      </c>
    </row>
    <row r="139" spans="1:12" ht="15.6" x14ac:dyDescent="0.3">
      <c r="A139" s="50" t="str">
        <f t="shared" si="16"/>
        <v/>
      </c>
      <c r="D139" s="6" t="str">
        <f t="shared" si="20"/>
        <v/>
      </c>
      <c r="E139" s="49" t="str">
        <f t="shared" si="19"/>
        <v/>
      </c>
      <c r="G139" s="6" t="str">
        <f t="shared" si="17"/>
        <v/>
      </c>
      <c r="L139" s="12" t="str">
        <f t="shared" si="18"/>
        <v/>
      </c>
    </row>
    <row r="140" spans="1:12" ht="15.6" x14ac:dyDescent="0.3">
      <c r="A140" s="50" t="str">
        <f t="shared" si="16"/>
        <v/>
      </c>
      <c r="D140" s="6" t="str">
        <f t="shared" si="20"/>
        <v/>
      </c>
      <c r="E140" s="49" t="str">
        <f t="shared" si="19"/>
        <v/>
      </c>
      <c r="G140" s="6" t="str">
        <f t="shared" si="17"/>
        <v/>
      </c>
      <c r="L140" s="12" t="str">
        <f t="shared" si="18"/>
        <v/>
      </c>
    </row>
    <row r="141" spans="1:12" ht="15.6" x14ac:dyDescent="0.3">
      <c r="A141" s="50" t="str">
        <f t="shared" si="16"/>
        <v/>
      </c>
      <c r="D141" s="6" t="str">
        <f t="shared" si="20"/>
        <v/>
      </c>
      <c r="E141" s="49" t="str">
        <f t="shared" si="19"/>
        <v/>
      </c>
      <c r="G141" s="6" t="str">
        <f t="shared" si="17"/>
        <v/>
      </c>
      <c r="L141" s="12" t="str">
        <f t="shared" si="18"/>
        <v/>
      </c>
    </row>
    <row r="142" spans="1:12" ht="15.6" x14ac:dyDescent="0.3">
      <c r="A142" s="50" t="str">
        <f t="shared" si="16"/>
        <v/>
      </c>
      <c r="D142" s="6" t="str">
        <f t="shared" si="20"/>
        <v/>
      </c>
      <c r="E142" s="49" t="str">
        <f t="shared" si="19"/>
        <v/>
      </c>
      <c r="G142" s="6" t="str">
        <f t="shared" si="17"/>
        <v/>
      </c>
      <c r="L142" s="12" t="str">
        <f t="shared" si="18"/>
        <v/>
      </c>
    </row>
    <row r="143" spans="1:12" ht="15.6" x14ac:dyDescent="0.3">
      <c r="A143" s="50" t="str">
        <f t="shared" si="16"/>
        <v/>
      </c>
      <c r="D143" s="6" t="str">
        <f t="shared" si="20"/>
        <v/>
      </c>
      <c r="E143" s="49" t="str">
        <f t="shared" si="19"/>
        <v/>
      </c>
      <c r="G143" s="6" t="str">
        <f t="shared" si="17"/>
        <v/>
      </c>
      <c r="L143" s="12" t="str">
        <f t="shared" si="18"/>
        <v/>
      </c>
    </row>
    <row r="144" spans="1:12" ht="15.6" x14ac:dyDescent="0.3">
      <c r="A144" s="50" t="str">
        <f t="shared" si="16"/>
        <v/>
      </c>
      <c r="D144" s="6" t="str">
        <f t="shared" si="20"/>
        <v/>
      </c>
      <c r="E144" s="49" t="str">
        <f t="shared" si="19"/>
        <v/>
      </c>
      <c r="G144" s="6" t="str">
        <f t="shared" si="17"/>
        <v/>
      </c>
      <c r="L144" s="12" t="str">
        <f t="shared" si="18"/>
        <v/>
      </c>
    </row>
    <row r="145" spans="1:12" ht="15.6" x14ac:dyDescent="0.3">
      <c r="A145" s="50" t="str">
        <f t="shared" si="16"/>
        <v/>
      </c>
      <c r="D145" s="6" t="str">
        <f t="shared" si="20"/>
        <v/>
      </c>
      <c r="E145" s="49" t="str">
        <f t="shared" si="19"/>
        <v/>
      </c>
      <c r="G145" s="6" t="str">
        <f t="shared" si="17"/>
        <v/>
      </c>
      <c r="L145" s="12" t="str">
        <f t="shared" si="18"/>
        <v/>
      </c>
    </row>
    <row r="146" spans="1:12" ht="15.6" x14ac:dyDescent="0.3">
      <c r="A146" s="50" t="str">
        <f t="shared" si="16"/>
        <v/>
      </c>
      <c r="D146" s="6" t="str">
        <f t="shared" si="20"/>
        <v/>
      </c>
      <c r="E146" s="49" t="str">
        <f t="shared" si="19"/>
        <v/>
      </c>
      <c r="G146" s="6" t="str">
        <f t="shared" si="17"/>
        <v/>
      </c>
      <c r="L146" s="12" t="str">
        <f t="shared" si="18"/>
        <v/>
      </c>
    </row>
    <row r="147" spans="1:12" ht="15.6" x14ac:dyDescent="0.3">
      <c r="A147" s="50" t="str">
        <f t="shared" si="16"/>
        <v/>
      </c>
      <c r="D147" s="6" t="str">
        <f t="shared" si="20"/>
        <v/>
      </c>
      <c r="E147" s="49" t="str">
        <f t="shared" si="19"/>
        <v/>
      </c>
      <c r="G147" s="6" t="str">
        <f t="shared" si="17"/>
        <v/>
      </c>
      <c r="L147" s="12" t="str">
        <f t="shared" si="18"/>
        <v/>
      </c>
    </row>
    <row r="148" spans="1:12" ht="15.6" x14ac:dyDescent="0.3">
      <c r="A148" s="50" t="str">
        <f t="shared" si="16"/>
        <v/>
      </c>
      <c r="D148" s="6" t="str">
        <f t="shared" si="20"/>
        <v/>
      </c>
      <c r="E148" s="49" t="str">
        <f t="shared" si="19"/>
        <v/>
      </c>
      <c r="G148" s="6" t="str">
        <f t="shared" si="17"/>
        <v/>
      </c>
      <c r="L148" s="12" t="str">
        <f t="shared" si="18"/>
        <v/>
      </c>
    </row>
    <row r="149" spans="1:12" ht="15.6" x14ac:dyDescent="0.3">
      <c r="A149" s="50" t="str">
        <f t="shared" si="16"/>
        <v/>
      </c>
      <c r="D149" s="6" t="str">
        <f t="shared" si="20"/>
        <v/>
      </c>
      <c r="E149" s="49" t="str">
        <f t="shared" si="19"/>
        <v/>
      </c>
      <c r="G149" s="6" t="str">
        <f t="shared" si="17"/>
        <v/>
      </c>
      <c r="L149" s="12" t="str">
        <f t="shared" si="18"/>
        <v/>
      </c>
    </row>
    <row r="150" spans="1:12" ht="15.6" x14ac:dyDescent="0.3">
      <c r="A150" s="50" t="str">
        <f t="shared" si="16"/>
        <v/>
      </c>
      <c r="D150" s="6" t="str">
        <f t="shared" si="20"/>
        <v/>
      </c>
      <c r="E150" s="49" t="str">
        <f t="shared" si="19"/>
        <v/>
      </c>
      <c r="G150" s="6" t="str">
        <f t="shared" si="17"/>
        <v/>
      </c>
      <c r="L150" s="12" t="str">
        <f t="shared" si="18"/>
        <v/>
      </c>
    </row>
    <row r="151" spans="1:12" ht="15.6" x14ac:dyDescent="0.3">
      <c r="A151" s="50" t="str">
        <f t="shared" si="16"/>
        <v/>
      </c>
      <c r="D151" s="6" t="str">
        <f t="shared" si="20"/>
        <v/>
      </c>
      <c r="E151" s="49" t="str">
        <f t="shared" si="19"/>
        <v/>
      </c>
      <c r="G151" s="6" t="str">
        <f t="shared" si="17"/>
        <v/>
      </c>
      <c r="L151" s="12" t="str">
        <f t="shared" si="18"/>
        <v/>
      </c>
    </row>
    <row r="152" spans="1:12" ht="15.6" x14ac:dyDescent="0.3">
      <c r="A152" s="50" t="str">
        <f t="shared" si="16"/>
        <v/>
      </c>
      <c r="D152" s="6" t="str">
        <f t="shared" si="20"/>
        <v/>
      </c>
      <c r="E152" s="49" t="str">
        <f t="shared" si="19"/>
        <v/>
      </c>
      <c r="G152" s="6" t="str">
        <f t="shared" si="17"/>
        <v/>
      </c>
      <c r="L152" s="12" t="str">
        <f t="shared" si="18"/>
        <v/>
      </c>
    </row>
    <row r="153" spans="1:12" ht="15.6" x14ac:dyDescent="0.3">
      <c r="A153" s="50" t="str">
        <f t="shared" si="16"/>
        <v/>
      </c>
      <c r="D153" s="6" t="str">
        <f t="shared" si="20"/>
        <v/>
      </c>
      <c r="E153" s="49" t="str">
        <f t="shared" si="19"/>
        <v/>
      </c>
      <c r="G153" s="6" t="str">
        <f t="shared" si="17"/>
        <v/>
      </c>
      <c r="L153" s="12" t="str">
        <f t="shared" si="18"/>
        <v/>
      </c>
    </row>
    <row r="154" spans="1:12" ht="15.6" x14ac:dyDescent="0.3">
      <c r="A154" s="50" t="str">
        <f t="shared" si="16"/>
        <v/>
      </c>
      <c r="D154" s="6" t="str">
        <f t="shared" si="20"/>
        <v/>
      </c>
      <c r="E154" s="49" t="str">
        <f t="shared" si="19"/>
        <v/>
      </c>
      <c r="G154" s="6" t="str">
        <f t="shared" si="17"/>
        <v/>
      </c>
      <c r="L154" s="12" t="str">
        <f t="shared" si="18"/>
        <v/>
      </c>
    </row>
    <row r="155" spans="1:12" ht="15.6" x14ac:dyDescent="0.3">
      <c r="A155" s="50" t="str">
        <f t="shared" si="16"/>
        <v/>
      </c>
      <c r="D155" s="6" t="str">
        <f t="shared" si="20"/>
        <v/>
      </c>
      <c r="E155" s="49" t="str">
        <f t="shared" si="19"/>
        <v/>
      </c>
      <c r="G155" s="6" t="str">
        <f t="shared" si="17"/>
        <v/>
      </c>
      <c r="L155" s="12" t="str">
        <f t="shared" si="18"/>
        <v/>
      </c>
    </row>
    <row r="156" spans="1:12" ht="15.6" x14ac:dyDescent="0.3">
      <c r="A156" s="50" t="str">
        <f t="shared" si="16"/>
        <v/>
      </c>
      <c r="D156" s="6" t="str">
        <f t="shared" si="20"/>
        <v/>
      </c>
      <c r="E156" s="49" t="str">
        <f t="shared" si="19"/>
        <v/>
      </c>
      <c r="G156" s="6" t="str">
        <f t="shared" si="17"/>
        <v/>
      </c>
      <c r="L156" s="12" t="str">
        <f t="shared" si="18"/>
        <v/>
      </c>
    </row>
    <row r="157" spans="1:12" ht="15.6" x14ac:dyDescent="0.3">
      <c r="A157" s="50" t="str">
        <f t="shared" si="16"/>
        <v/>
      </c>
      <c r="D157" s="6" t="str">
        <f t="shared" si="20"/>
        <v/>
      </c>
      <c r="E157" s="49" t="str">
        <f t="shared" si="19"/>
        <v/>
      </c>
      <c r="G157" s="6" t="str">
        <f t="shared" si="17"/>
        <v/>
      </c>
      <c r="L157" s="12" t="str">
        <f t="shared" si="18"/>
        <v/>
      </c>
    </row>
    <row r="158" spans="1:12" ht="15.6" x14ac:dyDescent="0.3">
      <c r="A158" s="50" t="str">
        <f t="shared" si="16"/>
        <v/>
      </c>
      <c r="D158" s="6" t="str">
        <f t="shared" si="20"/>
        <v/>
      </c>
      <c r="E158" s="49" t="str">
        <f t="shared" si="19"/>
        <v/>
      </c>
      <c r="G158" s="6" t="str">
        <f t="shared" si="17"/>
        <v/>
      </c>
      <c r="L158" s="12" t="str">
        <f t="shared" si="18"/>
        <v/>
      </c>
    </row>
    <row r="159" spans="1:12" ht="15.6" x14ac:dyDescent="0.3">
      <c r="A159" s="50" t="str">
        <f t="shared" si="16"/>
        <v/>
      </c>
      <c r="D159" s="6" t="str">
        <f t="shared" si="20"/>
        <v/>
      </c>
      <c r="E159" s="49" t="str">
        <f t="shared" si="19"/>
        <v/>
      </c>
      <c r="G159" s="6" t="str">
        <f t="shared" si="17"/>
        <v/>
      </c>
      <c r="L159" s="12" t="str">
        <f t="shared" si="18"/>
        <v/>
      </c>
    </row>
    <row r="160" spans="1:12" ht="15.6" x14ac:dyDescent="0.3">
      <c r="A160" s="50" t="str">
        <f t="shared" si="16"/>
        <v/>
      </c>
      <c r="D160" s="6" t="str">
        <f t="shared" si="20"/>
        <v/>
      </c>
      <c r="E160" s="49" t="str">
        <f t="shared" si="19"/>
        <v/>
      </c>
      <c r="G160" s="6" t="str">
        <f t="shared" si="17"/>
        <v/>
      </c>
      <c r="L160" s="12" t="str">
        <f t="shared" si="18"/>
        <v/>
      </c>
    </row>
    <row r="161" spans="1:12" ht="15.6" x14ac:dyDescent="0.3">
      <c r="A161" s="50" t="str">
        <f t="shared" si="16"/>
        <v/>
      </c>
      <c r="D161" s="6" t="str">
        <f t="shared" si="20"/>
        <v/>
      </c>
      <c r="E161" s="49" t="str">
        <f t="shared" si="19"/>
        <v/>
      </c>
      <c r="G161" s="6" t="str">
        <f t="shared" si="17"/>
        <v/>
      </c>
      <c r="L161" s="12" t="str">
        <f t="shared" si="18"/>
        <v/>
      </c>
    </row>
    <row r="162" spans="1:12" ht="15.6" x14ac:dyDescent="0.3">
      <c r="A162" s="50" t="str">
        <f t="shared" si="16"/>
        <v/>
      </c>
      <c r="D162" s="6" t="str">
        <f t="shared" si="20"/>
        <v/>
      </c>
      <c r="E162" s="49" t="str">
        <f t="shared" si="19"/>
        <v/>
      </c>
      <c r="G162" s="6" t="str">
        <f t="shared" si="17"/>
        <v/>
      </c>
      <c r="L162" s="12" t="str">
        <f t="shared" si="18"/>
        <v/>
      </c>
    </row>
    <row r="163" spans="1:12" ht="15.6" x14ac:dyDescent="0.3">
      <c r="A163" s="50" t="str">
        <f t="shared" si="16"/>
        <v/>
      </c>
      <c r="D163" s="6" t="str">
        <f t="shared" si="20"/>
        <v/>
      </c>
      <c r="E163" s="49" t="str">
        <f t="shared" si="19"/>
        <v/>
      </c>
      <c r="G163" s="6" t="str">
        <f t="shared" si="17"/>
        <v/>
      </c>
      <c r="L163" s="12" t="str">
        <f t="shared" si="18"/>
        <v/>
      </c>
    </row>
    <row r="164" spans="1:12" ht="15.6" x14ac:dyDescent="0.3">
      <c r="A164" s="50" t="str">
        <f t="shared" si="16"/>
        <v/>
      </c>
      <c r="D164" s="6" t="str">
        <f t="shared" si="20"/>
        <v/>
      </c>
      <c r="E164" s="49" t="str">
        <f t="shared" si="19"/>
        <v/>
      </c>
      <c r="G164" s="6" t="str">
        <f t="shared" si="17"/>
        <v/>
      </c>
      <c r="L164" s="12" t="str">
        <f t="shared" si="18"/>
        <v/>
      </c>
    </row>
    <row r="165" spans="1:12" ht="15.6" x14ac:dyDescent="0.3">
      <c r="A165" s="50" t="str">
        <f t="shared" si="16"/>
        <v/>
      </c>
      <c r="D165" s="6" t="str">
        <f t="shared" si="20"/>
        <v/>
      </c>
      <c r="E165" s="49" t="str">
        <f t="shared" si="19"/>
        <v/>
      </c>
      <c r="G165" s="6" t="str">
        <f t="shared" si="17"/>
        <v/>
      </c>
      <c r="L165" s="12" t="str">
        <f t="shared" si="18"/>
        <v/>
      </c>
    </row>
    <row r="166" spans="1:12" ht="15.6" x14ac:dyDescent="0.3">
      <c r="A166" s="50" t="str">
        <f t="shared" si="16"/>
        <v/>
      </c>
      <c r="D166" s="6" t="str">
        <f t="shared" si="20"/>
        <v/>
      </c>
      <c r="E166" s="49" t="str">
        <f t="shared" si="19"/>
        <v/>
      </c>
      <c r="G166" s="6" t="str">
        <f t="shared" si="17"/>
        <v/>
      </c>
      <c r="L166" s="12" t="str">
        <f t="shared" si="18"/>
        <v/>
      </c>
    </row>
    <row r="167" spans="1:12" ht="15.6" x14ac:dyDescent="0.3">
      <c r="A167" s="50" t="str">
        <f t="shared" si="16"/>
        <v/>
      </c>
      <c r="D167" s="6" t="str">
        <f t="shared" si="20"/>
        <v/>
      </c>
      <c r="E167" s="49" t="str">
        <f t="shared" si="19"/>
        <v/>
      </c>
      <c r="G167" s="6" t="str">
        <f t="shared" si="17"/>
        <v/>
      </c>
      <c r="L167" s="12" t="str">
        <f t="shared" si="18"/>
        <v/>
      </c>
    </row>
    <row r="168" spans="1:12" ht="15.6" x14ac:dyDescent="0.3">
      <c r="A168" s="50" t="str">
        <f t="shared" si="16"/>
        <v/>
      </c>
      <c r="D168" s="6" t="str">
        <f t="shared" si="20"/>
        <v/>
      </c>
      <c r="E168" s="49" t="str">
        <f t="shared" si="19"/>
        <v/>
      </c>
      <c r="G168" s="6" t="str">
        <f t="shared" si="17"/>
        <v/>
      </c>
      <c r="L168" s="12" t="str">
        <f t="shared" si="18"/>
        <v/>
      </c>
    </row>
    <row r="169" spans="1:12" ht="15.6" x14ac:dyDescent="0.3">
      <c r="A169" s="50" t="str">
        <f t="shared" si="16"/>
        <v/>
      </c>
      <c r="D169" s="6" t="str">
        <f t="shared" si="20"/>
        <v/>
      </c>
      <c r="E169" s="49" t="str">
        <f t="shared" si="19"/>
        <v/>
      </c>
      <c r="G169" s="6" t="str">
        <f t="shared" si="17"/>
        <v/>
      </c>
      <c r="L169" s="12" t="str">
        <f t="shared" si="18"/>
        <v/>
      </c>
    </row>
    <row r="170" spans="1:12" ht="15.6" x14ac:dyDescent="0.3">
      <c r="A170" s="50" t="str">
        <f t="shared" si="16"/>
        <v/>
      </c>
      <c r="D170" s="6" t="str">
        <f t="shared" si="20"/>
        <v/>
      </c>
      <c r="E170" s="49" t="str">
        <f t="shared" si="19"/>
        <v/>
      </c>
      <c r="G170" s="6" t="str">
        <f t="shared" si="17"/>
        <v/>
      </c>
      <c r="L170" s="12" t="str">
        <f t="shared" si="18"/>
        <v/>
      </c>
    </row>
  </sheetData>
  <mergeCells count="17">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 ref="H10:H11"/>
  </mergeCells>
  <conditionalFormatting sqref="G10:G1048576">
    <cfRule type="colorScale" priority="1">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64:G69">
    <cfRule type="colorScale" priority="3">
      <colorScale>
        <cfvo type="min"/>
        <cfvo type="percentile" val="50"/>
        <cfvo type="max"/>
        <color rgb="FF63BE7B"/>
        <color rgb="FFFCFCFF"/>
        <color rgb="FFF8696B"/>
      </colorScale>
    </cfRule>
  </conditionalFormatting>
  <conditionalFormatting sqref="G73">
    <cfRule type="colorScale" priority="4">
      <colorScale>
        <cfvo type="min"/>
        <cfvo type="percentile" val="50"/>
        <cfvo type="max"/>
        <color rgb="FF63BE7B"/>
        <color rgb="FFFCFCFF"/>
        <color rgb="FFF8696B"/>
      </colorScale>
    </cfRule>
  </conditionalFormatting>
  <conditionalFormatting sqref="G74:G170 G14:G56 G58:G63 G70:G72">
    <cfRule type="colorScale" priority="9">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2024-11-05T21:24:17Z</dcterms:modified>
</cp:coreProperties>
</file>