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apmac/Documents/GitHub/Shattered-Protocols-Text-RPG/Documents/"/>
    </mc:Choice>
  </mc:AlternateContent>
  <xr:revisionPtr revIDLastSave="0" documentId="13_ncr:1_{1F1ACCF6-5CDD-024E-8012-AD2485FEB09F}" xr6:coauthVersionLast="47" xr6:coauthVersionMax="47" xr10:uidLastSave="{00000000-0000-0000-0000-000000000000}"/>
  <bookViews>
    <workbookView xWindow="160" yWindow="660" windowWidth="28480" windowHeight="15660" xr2:uid="{CAB5D44A-E176-404C-B398-BEAD2D9E68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F19" i="1"/>
  <c r="G19" i="1" s="1"/>
  <c r="F18" i="1"/>
  <c r="G18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1" i="1"/>
  <c r="F17" i="1" s="1"/>
  <c r="G17" i="1" s="1"/>
  <c r="G79" i="1"/>
  <c r="D81" i="1"/>
  <c r="G83" i="1"/>
  <c r="B83" i="1"/>
  <c r="G72" i="1"/>
  <c r="G82" i="1"/>
  <c r="G75" i="1"/>
  <c r="G74" i="1"/>
  <c r="G73" i="1"/>
  <c r="G71" i="1"/>
  <c r="G70" i="1"/>
  <c r="G69" i="1"/>
  <c r="G68" i="1"/>
  <c r="G67" i="1"/>
  <c r="G66" i="1"/>
  <c r="B82" i="1"/>
  <c r="B66" i="1"/>
  <c r="B65" i="1"/>
  <c r="B49" i="1"/>
  <c r="G48" i="1"/>
  <c r="B50" i="1"/>
  <c r="A50" i="1" s="1"/>
  <c r="F44" i="1"/>
  <c r="G44" i="1" s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G85" i="1"/>
  <c r="D77" i="1"/>
  <c r="D52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G84" i="1"/>
  <c r="E76" i="1"/>
  <c r="G76" i="1" s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94" i="1"/>
  <c r="G105" i="1"/>
  <c r="G104" i="1"/>
  <c r="G92" i="1"/>
  <c r="G47" i="1"/>
  <c r="G46" i="1"/>
  <c r="G45" i="1"/>
  <c r="G43" i="1"/>
  <c r="G42" i="1"/>
  <c r="A40" i="1"/>
  <c r="G41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10" i="1"/>
  <c r="A10" i="1"/>
  <c r="A11" i="1" s="1"/>
  <c r="A12" i="1" s="1"/>
  <c r="A13" i="1" s="1"/>
  <c r="A14" i="1" s="1"/>
  <c r="A15" i="1" s="1"/>
  <c r="A16" i="1" s="1"/>
  <c r="A17" i="1" s="1"/>
  <c r="A41" i="1"/>
  <c r="A42" i="1" s="1"/>
  <c r="A43" i="1" s="1"/>
  <c r="A44" i="1" s="1"/>
  <c r="A45" i="1" s="1"/>
  <c r="A46" i="1" s="1"/>
  <c r="A47" i="1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G9" i="1"/>
  <c r="G106" i="1" l="1"/>
  <c r="G88" i="1"/>
  <c r="E77" i="1"/>
  <c r="G77" i="1" s="1"/>
  <c r="D78" i="1"/>
  <c r="D79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G49" i="1"/>
  <c r="G50" i="1"/>
  <c r="D53" i="1"/>
  <c r="D54" i="1" s="1"/>
  <c r="D59" i="1" s="1"/>
  <c r="A51" i="1"/>
  <c r="A57" i="1" s="1"/>
  <c r="A52" i="1" s="1"/>
  <c r="D89" i="1" l="1"/>
  <c r="D90" i="1" s="1"/>
  <c r="D91" i="1" s="1"/>
  <c r="D86" i="1" s="1"/>
  <c r="D87" i="1" s="1"/>
  <c r="D60" i="1"/>
  <c r="A53" i="1"/>
  <c r="A54" i="1" s="1"/>
  <c r="A59" i="1" s="1"/>
  <c r="G51" i="1"/>
  <c r="D92" i="1" l="1"/>
  <c r="D94" i="1" s="1"/>
  <c r="G86" i="1"/>
  <c r="G89" i="1"/>
  <c r="D62" i="1"/>
  <c r="A66" i="1"/>
  <c r="A67" i="1" s="1"/>
  <c r="A68" i="1" s="1"/>
  <c r="A69" i="1" s="1"/>
  <c r="A70" i="1" s="1"/>
  <c r="A71" i="1" s="1"/>
  <c r="A72" i="1" s="1"/>
  <c r="A73" i="1" s="1"/>
  <c r="D55" i="1"/>
  <c r="D56" i="1" s="1"/>
  <c r="A60" i="1"/>
  <c r="D95" i="1" l="1"/>
  <c r="A74" i="1"/>
  <c r="A75" i="1" s="1"/>
  <c r="A76" i="1" s="1"/>
  <c r="A77" i="1" s="1"/>
  <c r="A78" i="1" s="1"/>
  <c r="A55" i="1"/>
  <c r="A56" i="1" s="1"/>
  <c r="G81" i="1"/>
  <c r="E62" i="1"/>
  <c r="D63" i="1"/>
  <c r="A62" i="1"/>
  <c r="D58" i="1"/>
  <c r="G52" i="1"/>
  <c r="D96" i="1" l="1"/>
  <c r="G90" i="1"/>
  <c r="G91" i="1"/>
  <c r="A79" i="1"/>
  <c r="A80" i="1" s="1"/>
  <c r="A81" i="1" s="1"/>
  <c r="A82" i="1" s="1"/>
  <c r="A83" i="1" s="1"/>
  <c r="A84" i="1" s="1"/>
  <c r="A85" i="1" s="1"/>
  <c r="A88" i="1" s="1"/>
  <c r="A89" i="1" s="1"/>
  <c r="A90" i="1" s="1"/>
  <c r="A91" i="1" s="1"/>
  <c r="A86" i="1" s="1"/>
  <c r="A87" i="1" s="1"/>
  <c r="A92" i="1" s="1"/>
  <c r="A94" i="1" s="1"/>
  <c r="A95" i="1" s="1"/>
  <c r="A63" i="1"/>
  <c r="A65" i="1" s="1"/>
  <c r="D64" i="1"/>
  <c r="A58" i="1"/>
  <c r="D61" i="1"/>
  <c r="G65" i="1"/>
  <c r="D97" i="1" l="1"/>
  <c r="A96" i="1"/>
  <c r="A64" i="1"/>
  <c r="G54" i="1"/>
  <c r="A61" i="1"/>
  <c r="D98" i="1" l="1"/>
  <c r="A97" i="1"/>
  <c r="G87" i="1"/>
  <c r="A49" i="1"/>
  <c r="A98" i="1" l="1"/>
  <c r="D99" i="1"/>
  <c r="G62" i="1"/>
  <c r="E63" i="1"/>
  <c r="G55" i="1"/>
  <c r="A99" i="1" l="1"/>
  <c r="D100" i="1"/>
  <c r="G63" i="1"/>
  <c r="E64" i="1"/>
  <c r="G64" i="1" s="1"/>
  <c r="G56" i="1"/>
  <c r="A100" i="1" l="1"/>
  <c r="D101" i="1"/>
  <c r="G61" i="1"/>
  <c r="A101" i="1" l="1"/>
  <c r="D102" i="1"/>
  <c r="G95" i="1"/>
  <c r="A102" i="1" l="1"/>
  <c r="D103" i="1"/>
  <c r="G96" i="1"/>
  <c r="D104" i="1" l="1"/>
  <c r="A103" i="1"/>
  <c r="G97" i="1"/>
  <c r="D105" i="1" l="1"/>
  <c r="A104" i="1"/>
  <c r="G98" i="1"/>
  <c r="D106" i="1" l="1"/>
  <c r="A105" i="1"/>
  <c r="G99" i="1"/>
  <c r="A106" i="1" l="1"/>
  <c r="G100" i="1"/>
  <c r="G101" i="1" l="1"/>
  <c r="G102" i="1" l="1"/>
  <c r="G103" i="1" l="1"/>
</calcChain>
</file>

<file path=xl/sharedStrings.xml><?xml version="1.0" encoding="utf-8"?>
<sst xmlns="http://schemas.openxmlformats.org/spreadsheetml/2006/main" count="253" uniqueCount="122">
  <si>
    <t>Intro to Software Engineering</t>
  </si>
  <si>
    <t>ID</t>
  </si>
  <si>
    <t>REQUIREMENT</t>
  </si>
  <si>
    <t>INC/Ver</t>
  </si>
  <si>
    <t>Increment</t>
  </si>
  <si>
    <t>version</t>
  </si>
  <si>
    <t>Late by one day color cell yellow</t>
  </si>
  <si>
    <t>Late by one week color cell red</t>
  </si>
  <si>
    <t>T  Write</t>
  </si>
  <si>
    <t>CONFIGURATION MANAGEMENT</t>
  </si>
  <si>
    <t xml:space="preserve">TEAM:  </t>
  </si>
  <si>
    <t xml:space="preserve">REQ Lead: </t>
  </si>
  <si>
    <t>DATE:</t>
  </si>
  <si>
    <t>Team Member</t>
  </si>
  <si>
    <t>Comments</t>
  </si>
  <si>
    <t>Must Have a Throughline Story Providing the player with context and goal</t>
  </si>
  <si>
    <t>Must have imaginative and clear writing for player to easily visualize and navigate the world</t>
  </si>
  <si>
    <t>Must have textbox input for keyword entry</t>
  </si>
  <si>
    <t>Must have intuitive keyword player inputs</t>
  </si>
  <si>
    <t>Must use reliable keywords (synonyms if possible)</t>
  </si>
  <si>
    <t>Must allow player to check available commands at any time</t>
  </si>
  <si>
    <t>Must implement several different logic pizzles of varying difficulty</t>
  </si>
  <si>
    <t>Setup Main user input keyword structure</t>
  </si>
  <si>
    <t>Setup Player Object</t>
  </si>
  <si>
    <t>Setup Game Object</t>
  </si>
  <si>
    <t>Setup Room Object</t>
  </si>
  <si>
    <t>Make Prototype Map Layout</t>
  </si>
  <si>
    <t>Team</t>
  </si>
  <si>
    <t>Dev Documentation</t>
  </si>
  <si>
    <t>User Documentation</t>
  </si>
  <si>
    <t>Template</t>
  </si>
  <si>
    <t>Shattered Protocols</t>
  </si>
  <si>
    <t>T Fox</t>
  </si>
  <si>
    <t>J Hong</t>
  </si>
  <si>
    <t>S Welton</t>
  </si>
  <si>
    <t>Class</t>
  </si>
  <si>
    <t>Core</t>
  </si>
  <si>
    <t>Test Reports Submission</t>
  </si>
  <si>
    <t>Test Plan Documentation Submission</t>
  </si>
  <si>
    <t>Track User Input to File</t>
  </si>
  <si>
    <t>Requirements Spreadsheet Start</t>
  </si>
  <si>
    <t>Requirements Spreadsheet Submission</t>
  </si>
  <si>
    <t>Artifacts Delivery Document Submission</t>
  </si>
  <si>
    <t>License Documentation and selection</t>
  </si>
  <si>
    <t>Delivery Goal</t>
  </si>
  <si>
    <t xml:space="preserve"> Date Delivered</t>
  </si>
  <si>
    <t>Days Late</t>
  </si>
  <si>
    <t>First 6 Puzzles Designed and programmed</t>
  </si>
  <si>
    <t>Test Plan Documentation Creation</t>
  </si>
  <si>
    <t>Setup Keyword Input Model</t>
  </si>
  <si>
    <t>Project Idea Agreement</t>
  </si>
  <si>
    <t>Midterm Presentation</t>
  </si>
  <si>
    <t>Set Prototype Script</t>
  </si>
  <si>
    <t>Completed by T Fox</t>
  </si>
  <si>
    <t>Setup Puzzle Object Framework</t>
  </si>
  <si>
    <t>Come up with Puzzle concepts*</t>
  </si>
  <si>
    <t>Make Map Object*</t>
  </si>
  <si>
    <t>Make General Story intro and concepts</t>
  </si>
  <si>
    <t>Cancelled</t>
  </si>
  <si>
    <t>Decouple objects into event system</t>
  </si>
  <si>
    <t>Setup Programmatic Testing</t>
  </si>
  <si>
    <t>Iteration 1 Completion (Initial Goal)</t>
  </si>
  <si>
    <t>Iteration 1 Completion (Adjusted Goal)</t>
  </si>
  <si>
    <t>Update Room Name and Descriptions (So not all same)</t>
  </si>
  <si>
    <t>10/28/2024   (Initially defined in Github Projects 9/26)</t>
  </si>
  <si>
    <t>CLASS 3300-004</t>
  </si>
  <si>
    <t>Improve Comments on Core Classes</t>
  </si>
  <si>
    <t>Improve Comments on Puzzle Classes</t>
  </si>
  <si>
    <t>J Hong / T Fox</t>
  </si>
  <si>
    <t>Add to the puzzle description reason puzzle is being solved</t>
  </si>
  <si>
    <t>IT-1.07</t>
  </si>
  <si>
    <t>Iteration 1.0 Test Report</t>
  </si>
  <si>
    <t>Map handles Room Generation not Individual Rooms (To prevent duplicate rooms issues)</t>
  </si>
  <si>
    <t>key item ends game properly</t>
  </si>
  <si>
    <t>S Welton / J Hong</t>
  </si>
  <si>
    <t>Add Reset Counter to Start() methods for puzzles</t>
  </si>
  <si>
    <t>*(If time) Break Puzzles into Clue Items so passwords arent provided with puzzle</t>
  </si>
  <si>
    <t>Start Dev Document</t>
  </si>
  <si>
    <t>Intro/Outro Text Display</t>
  </si>
  <si>
    <t>Doors locking.unliocking</t>
  </si>
  <si>
    <t>Generate Gameplay Test File</t>
  </si>
  <si>
    <t>Delayed</t>
  </si>
  <si>
    <t>Finish Door Locking/Unlocking</t>
  </si>
  <si>
    <t>Fix Puzzle being run when re-entering room after already being solved</t>
  </si>
  <si>
    <t>Final room you must enter keycard to get the final puzzle</t>
  </si>
  <si>
    <t>*If time, make room puzzles show when attempting to use a locked door or something</t>
  </si>
  <si>
    <t>Add additional Comments to Core Programming parts</t>
  </si>
  <si>
    <t>Add additional comments to Puzzle comments</t>
  </si>
  <si>
    <t>Rework Hash puzzle</t>
  </si>
  <si>
    <t>Iteration 3 plan report</t>
  </si>
  <si>
    <t>Save/Load system with Serializable objects/ JSONUtility</t>
  </si>
  <si>
    <t>Update Readme</t>
  </si>
  <si>
    <t>Final Presentation</t>
  </si>
  <si>
    <t>ReadMe</t>
  </si>
  <si>
    <t>Code and Executable Submission</t>
  </si>
  <si>
    <t>More formatting so the game isnt just a gross wall of text</t>
  </si>
  <si>
    <t>Test making Executable (How hard is it?)</t>
  </si>
  <si>
    <t>Make Puzzle Nullable without breaking game (Room line 88)</t>
  </si>
  <si>
    <t>Add new Puzzle for Breakroom</t>
  </si>
  <si>
    <t>Remove Debug Outputs on Puzzles</t>
  </si>
  <si>
    <t>*if time Tie Save system (gamestate.cs) into keyword system</t>
  </si>
  <si>
    <t>Fix Binarysearch</t>
  </si>
  <si>
    <t>Fix PuzzlePortScan</t>
  </si>
  <si>
    <t>Setup Initial Presentation PPT</t>
  </si>
  <si>
    <t>Make code Executable</t>
  </si>
  <si>
    <t>Add comments for any sources used on puzzles</t>
  </si>
  <si>
    <t>Editing spellcheck review of all outputs (recommend just copying log file into word for spellcheck/grammar checks)</t>
  </si>
  <si>
    <t>Editing review of all written documents</t>
  </si>
  <si>
    <t>Final Game Tests</t>
  </si>
  <si>
    <t>Adjust code as necessary for new breakroom system</t>
  </si>
  <si>
    <t>Final Submissions</t>
  </si>
  <si>
    <t>Communication, organizational and scheduling issues prevented earlier completion of the iteration.</t>
  </si>
  <si>
    <t>Note: Original requirement and submission date were for the base objects setup with intent to refine in future iterations. Submission of polished components was 10/18 technically 7 days past target due date.
The objects were refined significantly during this time period.</t>
  </si>
  <si>
    <t>Technically added late to iteration as a better way of having rooms.</t>
  </si>
  <si>
    <t>Prototype layout continuing to be used for level 1</t>
  </si>
  <si>
    <t xml:space="preserve"> Iteration 1 due date moved from 10/15/24  to 10/31/24 to reorganize.</t>
  </si>
  <si>
    <t>Team decided not to continue with creating  automated testing as the project is too small. Great idea for the future!</t>
  </si>
  <si>
    <t>Implemented base logic, but still need to finish events that actually handle the locking/unlocking</t>
  </si>
  <si>
    <t>There was a slight delay with testing caused by GIT management issues on Dev side. Puzzle and Dev branches not properly merged.</t>
  </si>
  <si>
    <t>Will be completed in next iteration</t>
  </si>
  <si>
    <t>Iteration 0 Completion</t>
  </si>
  <si>
    <t>Make level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</si>
</sst>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IT-&quot;0&quot;.&quot;00"/>
    <numFmt numFmtId="165" formatCode="&quot;Class&quot;00"/>
  </numFmts>
  <fonts count="14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u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2"/>
      <color rgb="FFFF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color rgb="FF9C0006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5C5"/>
        <bgColor indexed="64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1" fillId="6" borderId="0" applyNumberFormat="0" applyBorder="0" applyAlignment="0" applyProtection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4" fontId="6" fillId="0" borderId="10" xfId="0" applyNumberFormat="1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/>
    </xf>
    <xf numFmtId="14" fontId="4" fillId="5" borderId="3" xfId="0" applyNumberFormat="1" applyFont="1" applyFill="1" applyBorder="1" applyAlignment="1">
      <alignment horizontal="center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/>
    </xf>
    <xf numFmtId="14" fontId="9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4" fillId="0" borderId="5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164" fontId="4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/>
    </xf>
    <xf numFmtId="0" fontId="7" fillId="5" borderId="3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top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14" fontId="2" fillId="0" borderId="11" xfId="0" applyNumberFormat="1" applyFont="1" applyBorder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12" fillId="6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FFF99"/>
      <color rgb="FFFFC5C5"/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0A37F-814E-4AF4-9047-E946E2A67EEB}">
  <dimension ref="A1:H143"/>
  <sheetViews>
    <sheetView tabSelected="1" workbookViewId="0">
      <pane xSplit="2" ySplit="8" topLeftCell="C77" activePane="bottomRight" state="frozen"/>
      <selection pane="topRight" activeCell="C1" sqref="C1"/>
      <selection pane="bottomLeft" activeCell="A14" sqref="A14"/>
      <selection pane="bottomRight" activeCell="H64" sqref="H64"/>
    </sheetView>
  </sheetViews>
  <sheetFormatPr baseColWidth="10" defaultColWidth="9.1640625" defaultRowHeight="16" x14ac:dyDescent="0.2"/>
  <cols>
    <col min="1" max="1" width="15.5" style="6" customWidth="1"/>
    <col min="2" max="2" width="61.33203125" style="5" customWidth="1"/>
    <col min="3" max="3" width="17.1640625" style="6" bestFit="1" customWidth="1"/>
    <col min="4" max="4" width="12.6640625" style="6" customWidth="1"/>
    <col min="5" max="5" width="15.83203125" style="6" bestFit="1" customWidth="1"/>
    <col min="6" max="7" width="12.6640625" style="6" customWidth="1"/>
    <col min="8" max="8" width="173.83203125" style="63" customWidth="1"/>
    <col min="9" max="16384" width="9.1640625" style="12"/>
  </cols>
  <sheetData>
    <row r="1" spans="1:8" s="22" customFormat="1" ht="18.75" customHeight="1" thickBot="1" x14ac:dyDescent="0.25">
      <c r="A1" s="76" t="s">
        <v>65</v>
      </c>
      <c r="B1" s="77"/>
      <c r="C1" s="36" t="s">
        <v>10</v>
      </c>
      <c r="D1" s="86" t="s">
        <v>31</v>
      </c>
      <c r="E1" s="86"/>
      <c r="F1" s="37" t="s">
        <v>12</v>
      </c>
      <c r="G1" s="26" t="s">
        <v>64</v>
      </c>
      <c r="H1" s="57"/>
    </row>
    <row r="2" spans="1:8" s="22" customFormat="1" ht="19" x14ac:dyDescent="0.2">
      <c r="A2" s="78" t="s">
        <v>0</v>
      </c>
      <c r="B2" s="79"/>
      <c r="C2" s="36" t="s">
        <v>11</v>
      </c>
      <c r="D2" s="25" t="s">
        <v>32</v>
      </c>
      <c r="G2" s="71"/>
      <c r="H2" s="58"/>
    </row>
    <row r="3" spans="1:8" s="7" customFormat="1" x14ac:dyDescent="0.2">
      <c r="A3" s="38"/>
      <c r="B3" s="2"/>
      <c r="C3" s="1"/>
      <c r="D3" s="1"/>
      <c r="E3" s="1"/>
      <c r="F3" s="1"/>
      <c r="G3" s="1"/>
      <c r="H3" s="59"/>
    </row>
    <row r="4" spans="1:8" s="7" customFormat="1" x14ac:dyDescent="0.2">
      <c r="A4" s="1"/>
      <c r="B4" s="2"/>
      <c r="C4" s="83" t="s">
        <v>9</v>
      </c>
      <c r="D4" s="83"/>
      <c r="E4" s="83"/>
      <c r="F4" s="83"/>
      <c r="G4" s="1"/>
      <c r="H4" s="85" t="s">
        <v>14</v>
      </c>
    </row>
    <row r="5" spans="1:8" s="7" customFormat="1" ht="15.5" customHeight="1" x14ac:dyDescent="0.2">
      <c r="A5" s="1"/>
      <c r="B5" s="2"/>
      <c r="C5" s="82" t="s">
        <v>13</v>
      </c>
      <c r="D5" s="1"/>
      <c r="E5" s="82" t="s">
        <v>44</v>
      </c>
      <c r="F5" s="82" t="s">
        <v>45</v>
      </c>
      <c r="G5" s="82" t="s">
        <v>46</v>
      </c>
      <c r="H5" s="85"/>
    </row>
    <row r="6" spans="1:8" s="7" customFormat="1" ht="17" thickBot="1" x14ac:dyDescent="0.25">
      <c r="A6" s="1" t="s">
        <v>1</v>
      </c>
      <c r="B6" s="4" t="s">
        <v>2</v>
      </c>
      <c r="C6" s="82"/>
      <c r="D6" s="1" t="s">
        <v>3</v>
      </c>
      <c r="E6" s="82"/>
      <c r="F6" s="82"/>
      <c r="G6" s="82"/>
      <c r="H6" s="85"/>
    </row>
    <row r="7" spans="1:8" s="48" customFormat="1" ht="52" hidden="1" thickBot="1" x14ac:dyDescent="0.25">
      <c r="A7" s="80" t="s">
        <v>30</v>
      </c>
      <c r="B7" s="46"/>
      <c r="C7" s="19" t="s">
        <v>8</v>
      </c>
      <c r="D7" s="19" t="s">
        <v>4</v>
      </c>
      <c r="E7" s="19"/>
      <c r="F7" s="47" t="s">
        <v>6</v>
      </c>
      <c r="G7" s="19"/>
      <c r="H7" s="60"/>
    </row>
    <row r="8" spans="1:8" s="3" customFormat="1" ht="61.5" hidden="1" customHeight="1" x14ac:dyDescent="0.2">
      <c r="A8" s="81"/>
      <c r="B8" s="8"/>
      <c r="C8" s="10"/>
      <c r="D8" s="10" t="s">
        <v>5</v>
      </c>
      <c r="E8" s="10"/>
      <c r="F8" s="23" t="s">
        <v>7</v>
      </c>
      <c r="G8" s="10"/>
      <c r="H8" s="61"/>
    </row>
    <row r="9" spans="1:8" s="21" customFormat="1" x14ac:dyDescent="0.2">
      <c r="A9" s="39">
        <v>0</v>
      </c>
      <c r="B9" s="18" t="s">
        <v>51</v>
      </c>
      <c r="C9" s="19" t="s">
        <v>27</v>
      </c>
      <c r="D9" s="19" t="s">
        <v>35</v>
      </c>
      <c r="E9" s="20">
        <v>45566</v>
      </c>
      <c r="F9" s="20">
        <v>45564</v>
      </c>
      <c r="G9" s="19">
        <f>IF(AND(E9&gt;0,F9&gt;0),F9-E9,"")</f>
        <v>-2</v>
      </c>
      <c r="H9" s="62"/>
    </row>
    <row r="10" spans="1:8" x14ac:dyDescent="0.2">
      <c r="A10" s="40">
        <f>A9+1</f>
        <v>1</v>
      </c>
      <c r="B10" s="5" t="s">
        <v>92</v>
      </c>
      <c r="C10" s="6" t="s">
        <v>27</v>
      </c>
      <c r="D10" s="6" t="s">
        <v>35</v>
      </c>
      <c r="E10" s="11">
        <v>45629</v>
      </c>
      <c r="F10" s="11">
        <v>45629</v>
      </c>
      <c r="G10" s="6">
        <f>IF(AND(E10&gt;0,F10&gt;0),F10-E10,0)</f>
        <v>0</v>
      </c>
    </row>
    <row r="11" spans="1:8" x14ac:dyDescent="0.2">
      <c r="A11" s="40">
        <f t="shared" ref="A11:A27" si="0">A10+1</f>
        <v>2</v>
      </c>
      <c r="B11" s="5" t="s">
        <v>41</v>
      </c>
      <c r="C11" s="6" t="s">
        <v>32</v>
      </c>
      <c r="D11" s="6" t="s">
        <v>35</v>
      </c>
      <c r="E11" s="11">
        <v>45628</v>
      </c>
      <c r="F11" s="11" t="str">
        <f>IF(F95&gt;0,F95,"")</f>
        <v/>
      </c>
      <c r="G11" s="6">
        <f>IF(AND(E11&gt;0,ISNUMBER(F11)),F11-E11,0)</f>
        <v>0</v>
      </c>
    </row>
    <row r="12" spans="1:8" ht="17" thickBot="1" x14ac:dyDescent="0.25">
      <c r="A12" s="40">
        <f t="shared" si="0"/>
        <v>3</v>
      </c>
      <c r="B12" s="5" t="s">
        <v>28</v>
      </c>
      <c r="C12" s="10" t="s">
        <v>68</v>
      </c>
      <c r="D12" s="6" t="s">
        <v>35</v>
      </c>
      <c r="E12" s="11">
        <v>45628</v>
      </c>
      <c r="F12" s="11">
        <f t="shared" ref="F12:F19" si="1">IF(F96&gt;0,F96,"")</f>
        <v>45628</v>
      </c>
      <c r="G12" s="6">
        <f t="shared" ref="G12:G21" si="2">IF(AND(E12&gt;0,ISNUMBER(F12)),F12-E12,0)</f>
        <v>0</v>
      </c>
    </row>
    <row r="13" spans="1:8" x14ac:dyDescent="0.2">
      <c r="A13" s="40">
        <f t="shared" si="0"/>
        <v>4</v>
      </c>
      <c r="B13" s="5" t="s">
        <v>29</v>
      </c>
      <c r="C13" s="6" t="s">
        <v>34</v>
      </c>
      <c r="D13" s="6" t="s">
        <v>35</v>
      </c>
      <c r="E13" s="11">
        <v>45628</v>
      </c>
      <c r="F13" s="11">
        <f t="shared" si="1"/>
        <v>45628</v>
      </c>
      <c r="G13" s="6">
        <f t="shared" si="2"/>
        <v>0</v>
      </c>
    </row>
    <row r="14" spans="1:8" x14ac:dyDescent="0.2">
      <c r="A14" s="40">
        <f t="shared" si="0"/>
        <v>5</v>
      </c>
      <c r="B14" s="5" t="s">
        <v>38</v>
      </c>
      <c r="C14" s="6" t="s">
        <v>34</v>
      </c>
      <c r="D14" s="6" t="s">
        <v>35</v>
      </c>
      <c r="E14" s="11">
        <v>45628</v>
      </c>
      <c r="F14" s="11">
        <f t="shared" si="1"/>
        <v>45628</v>
      </c>
      <c r="G14" s="6">
        <f t="shared" si="2"/>
        <v>0</v>
      </c>
    </row>
    <row r="15" spans="1:8" x14ac:dyDescent="0.2">
      <c r="A15" s="40">
        <f t="shared" si="0"/>
        <v>6</v>
      </c>
      <c r="B15" s="5" t="s">
        <v>37</v>
      </c>
      <c r="C15" s="6" t="s">
        <v>34</v>
      </c>
      <c r="D15" s="6" t="s">
        <v>35</v>
      </c>
      <c r="E15" s="11">
        <v>45628</v>
      </c>
      <c r="F15" s="11">
        <f t="shared" si="1"/>
        <v>45628</v>
      </c>
      <c r="G15" s="6">
        <f t="shared" si="2"/>
        <v>0</v>
      </c>
    </row>
    <row r="16" spans="1:8" x14ac:dyDescent="0.2">
      <c r="A16" s="40">
        <f t="shared" si="0"/>
        <v>7</v>
      </c>
      <c r="B16" s="5" t="s">
        <v>42</v>
      </c>
      <c r="C16" s="6" t="s">
        <v>27</v>
      </c>
      <c r="D16" s="6" t="s">
        <v>35</v>
      </c>
      <c r="E16" s="11">
        <v>45628</v>
      </c>
      <c r="F16" s="11">
        <f t="shared" si="1"/>
        <v>45628</v>
      </c>
      <c r="G16" s="6">
        <f t="shared" si="2"/>
        <v>0</v>
      </c>
    </row>
    <row r="17" spans="1:8" x14ac:dyDescent="0.2">
      <c r="A17" s="40">
        <f t="shared" si="0"/>
        <v>8</v>
      </c>
      <c r="B17" s="5" t="s">
        <v>43</v>
      </c>
      <c r="C17" s="6" t="s">
        <v>33</v>
      </c>
      <c r="D17" s="6" t="s">
        <v>35</v>
      </c>
      <c r="E17" s="11">
        <v>45628</v>
      </c>
      <c r="F17" s="11">
        <f t="shared" si="1"/>
        <v>45607</v>
      </c>
      <c r="G17" s="6">
        <f t="shared" si="2"/>
        <v>-21</v>
      </c>
    </row>
    <row r="18" spans="1:8" x14ac:dyDescent="0.2">
      <c r="A18" s="40">
        <f t="shared" si="0"/>
        <v>9</v>
      </c>
      <c r="B18" s="5" t="s">
        <v>93</v>
      </c>
      <c r="C18" s="6" t="s">
        <v>33</v>
      </c>
      <c r="D18" s="6" t="s">
        <v>35</v>
      </c>
      <c r="E18" s="11">
        <v>45628</v>
      </c>
      <c r="F18" s="11">
        <f t="shared" si="1"/>
        <v>45628</v>
      </c>
      <c r="G18" s="6">
        <f t="shared" si="2"/>
        <v>0</v>
      </c>
    </row>
    <row r="19" spans="1:8" x14ac:dyDescent="0.2">
      <c r="A19" s="40">
        <f t="shared" si="0"/>
        <v>10</v>
      </c>
      <c r="B19" s="5" t="s">
        <v>94</v>
      </c>
      <c r="C19" s="6" t="s">
        <v>32</v>
      </c>
      <c r="D19" s="6" t="s">
        <v>35</v>
      </c>
      <c r="E19" s="11">
        <v>45628</v>
      </c>
      <c r="F19" s="11" t="str">
        <f t="shared" si="1"/>
        <v/>
      </c>
      <c r="G19" s="6">
        <f t="shared" si="2"/>
        <v>0</v>
      </c>
    </row>
    <row r="20" spans="1:8" x14ac:dyDescent="0.2">
      <c r="A20" s="40">
        <f t="shared" si="0"/>
        <v>11</v>
      </c>
      <c r="B20" s="5" t="s">
        <v>50</v>
      </c>
      <c r="C20" s="6" t="s">
        <v>27</v>
      </c>
      <c r="D20" s="6" t="s">
        <v>35</v>
      </c>
      <c r="E20" s="11">
        <v>45559</v>
      </c>
      <c r="F20" s="11">
        <v>45559</v>
      </c>
      <c r="G20" s="6">
        <f t="shared" si="2"/>
        <v>0</v>
      </c>
    </row>
    <row r="21" spans="1:8" x14ac:dyDescent="0.2">
      <c r="A21" s="40">
        <f t="shared" si="0"/>
        <v>12</v>
      </c>
      <c r="B21" s="5" t="s">
        <v>15</v>
      </c>
      <c r="C21" s="6" t="s">
        <v>34</v>
      </c>
      <c r="D21" s="6" t="s">
        <v>36</v>
      </c>
      <c r="E21" s="11">
        <v>45628</v>
      </c>
      <c r="F21" s="11">
        <v>45609</v>
      </c>
      <c r="G21" s="6">
        <f t="shared" si="2"/>
        <v>-19</v>
      </c>
    </row>
    <row r="22" spans="1:8" x14ac:dyDescent="0.2">
      <c r="A22" s="40">
        <f t="shared" si="0"/>
        <v>13</v>
      </c>
      <c r="B22" s="5" t="s">
        <v>16</v>
      </c>
      <c r="C22" s="6" t="s">
        <v>34</v>
      </c>
      <c r="D22" s="6" t="s">
        <v>36</v>
      </c>
      <c r="E22" s="11">
        <v>45628</v>
      </c>
      <c r="F22" s="11">
        <v>45628</v>
      </c>
      <c r="G22" s="6">
        <f t="shared" ref="G22:G41" si="3">IF(AND(E22&gt;0,F22&gt;0),F22-E22,0)</f>
        <v>0</v>
      </c>
    </row>
    <row r="23" spans="1:8" x14ac:dyDescent="0.2">
      <c r="A23" s="40">
        <f t="shared" si="0"/>
        <v>14</v>
      </c>
      <c r="B23" s="5" t="s">
        <v>17</v>
      </c>
      <c r="C23" s="6" t="s">
        <v>32</v>
      </c>
      <c r="D23" s="6" t="s">
        <v>36</v>
      </c>
      <c r="E23" s="11">
        <v>45628</v>
      </c>
      <c r="F23" s="11">
        <v>45628</v>
      </c>
      <c r="G23" s="6">
        <f t="shared" si="3"/>
        <v>0</v>
      </c>
    </row>
    <row r="24" spans="1:8" x14ac:dyDescent="0.2">
      <c r="A24" s="40">
        <f t="shared" si="0"/>
        <v>15</v>
      </c>
      <c r="B24" s="5" t="s">
        <v>18</v>
      </c>
      <c r="C24" s="6" t="s">
        <v>32</v>
      </c>
      <c r="D24" s="6" t="s">
        <v>36</v>
      </c>
      <c r="E24" s="11">
        <v>45628</v>
      </c>
      <c r="F24" s="11">
        <v>45628</v>
      </c>
      <c r="G24" s="6">
        <f t="shared" si="3"/>
        <v>0</v>
      </c>
    </row>
    <row r="25" spans="1:8" x14ac:dyDescent="0.2">
      <c r="A25" s="40">
        <f t="shared" si="0"/>
        <v>16</v>
      </c>
      <c r="B25" s="5" t="s">
        <v>19</v>
      </c>
      <c r="C25" s="6" t="s">
        <v>32</v>
      </c>
      <c r="D25" s="6" t="s">
        <v>36</v>
      </c>
      <c r="E25" s="11">
        <v>45628</v>
      </c>
      <c r="F25" s="11">
        <v>45628</v>
      </c>
      <c r="G25" s="6">
        <f t="shared" si="3"/>
        <v>0</v>
      </c>
    </row>
    <row r="26" spans="1:8" ht="17.25" customHeight="1" x14ac:dyDescent="0.2">
      <c r="A26" s="40">
        <f t="shared" si="0"/>
        <v>17</v>
      </c>
      <c r="B26" s="5" t="s">
        <v>20</v>
      </c>
      <c r="C26" s="6" t="s">
        <v>32</v>
      </c>
      <c r="D26" s="6" t="s">
        <v>36</v>
      </c>
      <c r="E26" s="11">
        <v>45628</v>
      </c>
      <c r="F26" s="11">
        <v>45628</v>
      </c>
      <c r="G26" s="6">
        <f t="shared" si="3"/>
        <v>0</v>
      </c>
    </row>
    <row r="27" spans="1:8" s="14" customFormat="1" ht="17" thickBot="1" x14ac:dyDescent="0.25">
      <c r="A27" s="41">
        <f t="shared" si="0"/>
        <v>18</v>
      </c>
      <c r="B27" s="9" t="s">
        <v>21</v>
      </c>
      <c r="C27" s="10" t="s">
        <v>33</v>
      </c>
      <c r="D27" s="10" t="s">
        <v>36</v>
      </c>
      <c r="E27" s="11">
        <v>45628</v>
      </c>
      <c r="F27" s="74">
        <v>45628</v>
      </c>
      <c r="G27" s="10">
        <f t="shared" si="3"/>
        <v>0</v>
      </c>
      <c r="H27" s="64"/>
    </row>
    <row r="28" spans="1:8" s="17" customFormat="1" ht="30.75" customHeight="1" x14ac:dyDescent="0.2">
      <c r="A28" s="42">
        <f>IF(D28=D27,A27+1,(D28*100))</f>
        <v>0</v>
      </c>
      <c r="B28" s="15" t="s">
        <v>120</v>
      </c>
      <c r="C28" s="16" t="s">
        <v>27</v>
      </c>
      <c r="D28" s="16">
        <v>0</v>
      </c>
      <c r="E28" s="24">
        <v>45573</v>
      </c>
      <c r="F28" s="24">
        <v>45583</v>
      </c>
      <c r="G28" s="19">
        <f t="shared" si="3"/>
        <v>10</v>
      </c>
      <c r="H28" s="65" t="s">
        <v>111</v>
      </c>
    </row>
    <row r="29" spans="1:8" x14ac:dyDescent="0.2">
      <c r="A29" s="43">
        <f t="shared" ref="A29:A39" si="4">IF(D29=D28,A28+1,(D29*100))</f>
        <v>1</v>
      </c>
      <c r="B29" s="5" t="s">
        <v>22</v>
      </c>
      <c r="C29" s="6" t="s">
        <v>32</v>
      </c>
      <c r="D29" s="6">
        <v>0</v>
      </c>
      <c r="E29" s="11">
        <v>45573</v>
      </c>
      <c r="F29" s="11">
        <v>45553</v>
      </c>
      <c r="G29" s="6">
        <f t="shared" si="3"/>
        <v>-20</v>
      </c>
      <c r="H29" s="87" t="s">
        <v>112</v>
      </c>
    </row>
    <row r="30" spans="1:8" x14ac:dyDescent="0.2">
      <c r="A30" s="43">
        <f t="shared" si="4"/>
        <v>2</v>
      </c>
      <c r="B30" s="5" t="s">
        <v>23</v>
      </c>
      <c r="C30" s="6" t="s">
        <v>32</v>
      </c>
      <c r="D30" s="6">
        <v>0</v>
      </c>
      <c r="E30" s="11">
        <v>45573</v>
      </c>
      <c r="F30" s="11">
        <v>45553</v>
      </c>
      <c r="G30" s="6">
        <f t="shared" si="3"/>
        <v>-20</v>
      </c>
      <c r="H30" s="88"/>
    </row>
    <row r="31" spans="1:8" x14ac:dyDescent="0.2">
      <c r="A31" s="43">
        <f t="shared" si="4"/>
        <v>3</v>
      </c>
      <c r="B31" s="5" t="s">
        <v>49</v>
      </c>
      <c r="C31" s="6" t="s">
        <v>32</v>
      </c>
      <c r="D31" s="6">
        <v>0</v>
      </c>
      <c r="E31" s="11">
        <v>45573</v>
      </c>
      <c r="F31" s="11">
        <v>45553</v>
      </c>
      <c r="G31" s="6">
        <f t="shared" si="3"/>
        <v>-20</v>
      </c>
      <c r="H31" s="88"/>
    </row>
    <row r="32" spans="1:8" x14ac:dyDescent="0.2">
      <c r="A32" s="43">
        <f t="shared" si="4"/>
        <v>4</v>
      </c>
      <c r="B32" s="5" t="s">
        <v>24</v>
      </c>
      <c r="C32" s="6" t="s">
        <v>32</v>
      </c>
      <c r="D32" s="6">
        <v>0</v>
      </c>
      <c r="E32" s="11">
        <v>45573</v>
      </c>
      <c r="F32" s="11">
        <v>45553</v>
      </c>
      <c r="G32" s="6">
        <f t="shared" si="3"/>
        <v>-20</v>
      </c>
      <c r="H32" s="88"/>
    </row>
    <row r="33" spans="1:8" x14ac:dyDescent="0.2">
      <c r="A33" s="43">
        <f t="shared" si="4"/>
        <v>5</v>
      </c>
      <c r="B33" s="5" t="s">
        <v>25</v>
      </c>
      <c r="C33" s="6" t="s">
        <v>32</v>
      </c>
      <c r="D33" s="6">
        <v>0</v>
      </c>
      <c r="E33" s="11">
        <v>45573</v>
      </c>
      <c r="F33" s="11">
        <v>45553</v>
      </c>
      <c r="G33" s="6">
        <f t="shared" si="3"/>
        <v>-20</v>
      </c>
      <c r="H33" s="88"/>
    </row>
    <row r="34" spans="1:8" x14ac:dyDescent="0.2">
      <c r="A34" s="43">
        <f t="shared" si="4"/>
        <v>6</v>
      </c>
      <c r="B34" s="5" t="s">
        <v>56</v>
      </c>
      <c r="C34" s="6" t="s">
        <v>32</v>
      </c>
      <c r="D34" s="6">
        <v>0</v>
      </c>
      <c r="E34" s="11">
        <v>45573</v>
      </c>
      <c r="F34" s="11">
        <v>45583</v>
      </c>
      <c r="G34" s="6">
        <f t="shared" si="3"/>
        <v>10</v>
      </c>
      <c r="H34" s="66" t="s">
        <v>113</v>
      </c>
    </row>
    <row r="35" spans="1:8" x14ac:dyDescent="0.2">
      <c r="A35" s="43">
        <f t="shared" si="4"/>
        <v>7</v>
      </c>
      <c r="B35" s="5" t="s">
        <v>55</v>
      </c>
      <c r="C35" s="6" t="s">
        <v>33</v>
      </c>
      <c r="D35" s="6">
        <v>0</v>
      </c>
      <c r="E35" s="11">
        <v>45573</v>
      </c>
      <c r="F35" s="11">
        <v>45564</v>
      </c>
      <c r="G35" s="6">
        <f t="shared" si="3"/>
        <v>-9</v>
      </c>
      <c r="H35" s="66"/>
    </row>
    <row r="36" spans="1:8" x14ac:dyDescent="0.2">
      <c r="A36" s="43">
        <f t="shared" si="4"/>
        <v>8</v>
      </c>
      <c r="B36" s="5" t="s">
        <v>57</v>
      </c>
      <c r="C36" s="6" t="s">
        <v>34</v>
      </c>
      <c r="D36" s="6">
        <v>0</v>
      </c>
      <c r="E36" s="11">
        <v>45573</v>
      </c>
      <c r="F36" s="11">
        <v>45564</v>
      </c>
      <c r="G36" s="6">
        <f t="shared" si="3"/>
        <v>-9</v>
      </c>
    </row>
    <row r="37" spans="1:8" x14ac:dyDescent="0.2">
      <c r="A37" s="43">
        <f t="shared" si="4"/>
        <v>9</v>
      </c>
      <c r="B37" s="5" t="s">
        <v>54</v>
      </c>
      <c r="C37" s="27" t="s">
        <v>33</v>
      </c>
      <c r="D37" s="6">
        <v>0</v>
      </c>
      <c r="E37" s="11">
        <v>45573</v>
      </c>
      <c r="F37" s="11">
        <v>45564</v>
      </c>
      <c r="G37" s="6">
        <f t="shared" si="3"/>
        <v>-9</v>
      </c>
      <c r="H37" s="67" t="s">
        <v>53</v>
      </c>
    </row>
    <row r="38" spans="1:8" x14ac:dyDescent="0.2">
      <c r="A38" s="43">
        <f t="shared" si="4"/>
        <v>10</v>
      </c>
      <c r="B38" s="5" t="s">
        <v>52</v>
      </c>
      <c r="C38" s="6" t="s">
        <v>34</v>
      </c>
      <c r="D38" s="6">
        <v>0</v>
      </c>
      <c r="E38" s="11">
        <v>45573</v>
      </c>
      <c r="F38" s="11">
        <v>45562</v>
      </c>
      <c r="G38" s="6">
        <f t="shared" si="3"/>
        <v>-11</v>
      </c>
    </row>
    <row r="39" spans="1:8" s="14" customFormat="1" ht="17" thickBot="1" x14ac:dyDescent="0.25">
      <c r="A39" s="44">
        <f t="shared" si="4"/>
        <v>11</v>
      </c>
      <c r="B39" s="9" t="s">
        <v>26</v>
      </c>
      <c r="C39" s="10" t="s">
        <v>34</v>
      </c>
      <c r="D39" s="10">
        <v>0</v>
      </c>
      <c r="E39" s="13">
        <v>45573</v>
      </c>
      <c r="F39" s="13">
        <v>45562</v>
      </c>
      <c r="G39" s="10">
        <f t="shared" si="3"/>
        <v>-11</v>
      </c>
      <c r="H39" s="64"/>
    </row>
    <row r="40" spans="1:8" s="33" customFormat="1" ht="30.75" customHeight="1" thickBot="1" x14ac:dyDescent="0.25">
      <c r="A40" s="45">
        <f>IF(D40=D38,A38+1,(D40*100))</f>
        <v>100</v>
      </c>
      <c r="B40" s="28" t="s">
        <v>61</v>
      </c>
      <c r="C40" s="16" t="s">
        <v>27</v>
      </c>
      <c r="D40" s="29">
        <v>1</v>
      </c>
      <c r="E40" s="30">
        <v>45579</v>
      </c>
      <c r="F40" s="31" t="s">
        <v>81</v>
      </c>
      <c r="G40" s="32"/>
      <c r="H40" s="68" t="s">
        <v>115</v>
      </c>
    </row>
    <row r="41" spans="1:8" s="17" customFormat="1" ht="30.75" customHeight="1" x14ac:dyDescent="0.2">
      <c r="A41" s="42">
        <f>IF(D41=D39,A39+1,(D41*100))</f>
        <v>100</v>
      </c>
      <c r="B41" s="15" t="s">
        <v>62</v>
      </c>
      <c r="C41" s="16" t="s">
        <v>27</v>
      </c>
      <c r="D41" s="16">
        <v>1</v>
      </c>
      <c r="E41" s="20">
        <v>45596</v>
      </c>
      <c r="F41" s="24">
        <v>45596</v>
      </c>
      <c r="G41" s="19">
        <f t="shared" si="3"/>
        <v>0</v>
      </c>
      <c r="H41" s="69"/>
    </row>
    <row r="42" spans="1:8" x14ac:dyDescent="0.2">
      <c r="A42" s="35">
        <f t="shared" ref="A42:A63" si="5">IF(B42="","",IF(D42=D41,A41+1,(D42*100)))</f>
        <v>101</v>
      </c>
      <c r="B42" s="5" t="s">
        <v>48</v>
      </c>
      <c r="C42" s="6" t="s">
        <v>34</v>
      </c>
      <c r="D42" s="6">
        <v>1</v>
      </c>
      <c r="E42" s="11">
        <v>45600</v>
      </c>
      <c r="F42" s="11">
        <v>45600</v>
      </c>
      <c r="G42" s="6">
        <f t="shared" ref="G42:G91" si="6">IF(B42="","",IF(AND(E42&gt;0,F42&gt;0),F42-E42,0))</f>
        <v>0</v>
      </c>
    </row>
    <row r="43" spans="1:8" x14ac:dyDescent="0.2">
      <c r="A43" s="43">
        <f t="shared" si="5"/>
        <v>102</v>
      </c>
      <c r="B43" s="5" t="s">
        <v>40</v>
      </c>
      <c r="C43" s="6" t="s">
        <v>32</v>
      </c>
      <c r="D43" s="6">
        <v>1</v>
      </c>
      <c r="E43" s="55">
        <v>45638</v>
      </c>
      <c r="F43" s="11">
        <v>45593</v>
      </c>
      <c r="G43" s="6">
        <f t="shared" si="6"/>
        <v>-45</v>
      </c>
    </row>
    <row r="44" spans="1:8" x14ac:dyDescent="0.2">
      <c r="A44" s="43">
        <f t="shared" si="5"/>
        <v>103</v>
      </c>
      <c r="B44" s="5" t="s">
        <v>121</v>
      </c>
      <c r="C44" s="6" t="s">
        <v>34</v>
      </c>
      <c r="D44" s="6">
        <v>1</v>
      </c>
      <c r="E44" s="11">
        <v>45596</v>
      </c>
      <c r="F44" s="11">
        <f>F39</f>
        <v>45562</v>
      </c>
      <c r="G44" s="6">
        <f t="shared" si="6"/>
        <v>-34</v>
      </c>
      <c r="H44" s="63" t="s">
        <v>114</v>
      </c>
    </row>
    <row r="45" spans="1:8" x14ac:dyDescent="0.2">
      <c r="A45" s="43">
        <f t="shared" si="5"/>
        <v>104</v>
      </c>
      <c r="B45" s="5" t="s">
        <v>47</v>
      </c>
      <c r="C45" s="6" t="s">
        <v>33</v>
      </c>
      <c r="D45" s="6">
        <v>1</v>
      </c>
      <c r="E45" s="11">
        <v>45596</v>
      </c>
      <c r="F45" s="11">
        <v>45592</v>
      </c>
      <c r="G45" s="6">
        <f t="shared" si="6"/>
        <v>-4</v>
      </c>
    </row>
    <row r="46" spans="1:8" x14ac:dyDescent="0.2">
      <c r="A46" s="43">
        <f t="shared" si="5"/>
        <v>105</v>
      </c>
      <c r="B46" s="5" t="s">
        <v>39</v>
      </c>
      <c r="C46" s="6" t="s">
        <v>32</v>
      </c>
      <c r="D46" s="6">
        <v>1</v>
      </c>
      <c r="E46" s="11">
        <v>45596</v>
      </c>
      <c r="F46" s="11">
        <v>45595</v>
      </c>
      <c r="G46" s="6">
        <f t="shared" si="6"/>
        <v>-1</v>
      </c>
    </row>
    <row r="47" spans="1:8" x14ac:dyDescent="0.2">
      <c r="A47" s="35">
        <f>IF(B47="","",IF(D47=D46,A46+1,(D47*100)))</f>
        <v>106</v>
      </c>
      <c r="B47" s="5" t="s">
        <v>63</v>
      </c>
      <c r="C47" s="6" t="s">
        <v>34</v>
      </c>
      <c r="D47" s="6">
        <v>1</v>
      </c>
      <c r="E47" s="11">
        <v>45600</v>
      </c>
      <c r="F47" s="11">
        <v>45600</v>
      </c>
      <c r="G47" s="6">
        <f t="shared" si="6"/>
        <v>0</v>
      </c>
    </row>
    <row r="48" spans="1:8" ht="19" customHeight="1" x14ac:dyDescent="0.2">
      <c r="A48" s="35" t="s">
        <v>70</v>
      </c>
      <c r="B48" s="5" t="s">
        <v>71</v>
      </c>
      <c r="C48" s="6" t="s">
        <v>34</v>
      </c>
      <c r="D48" s="6">
        <v>1</v>
      </c>
      <c r="E48" s="56">
        <v>45600</v>
      </c>
      <c r="F48" s="11">
        <v>45600</v>
      </c>
      <c r="G48" s="6">
        <f>IF(B48="","",IF(AND(E48&gt;0,F48&gt;0),F48-E48,0))</f>
        <v>0</v>
      </c>
    </row>
    <row r="49" spans="1:8" ht="19" customHeight="1" x14ac:dyDescent="0.2">
      <c r="A49" s="35">
        <f>IF(B49="","",IF(D49=Sheet1!D48,Sheet1!A48+1,(D49*100)))</f>
        <v>110.00000000000001</v>
      </c>
      <c r="B49" s="5" t="str">
        <f>"Iteration "&amp;D49&amp;" Test Report"</f>
        <v>Iteration 1.1 Test Report</v>
      </c>
      <c r="C49" s="6" t="s">
        <v>34</v>
      </c>
      <c r="D49" s="6">
        <v>1.1000000000000001</v>
      </c>
      <c r="E49" s="34">
        <v>45603</v>
      </c>
      <c r="F49" s="11">
        <v>45600</v>
      </c>
      <c r="G49" s="6">
        <f>IF(B49="","",IF(AND(E49&gt;0,F49&gt;0),F49-E49,0))</f>
        <v>-3</v>
      </c>
      <c r="H49" s="63" t="s">
        <v>118</v>
      </c>
    </row>
    <row r="50" spans="1:8" s="54" customFormat="1" ht="30.75" customHeight="1" x14ac:dyDescent="0.2">
      <c r="A50" s="49">
        <f>IF(B50="","",IF(D50=D47,A47+1,(D50*100)))</f>
        <v>200</v>
      </c>
      <c r="B50" s="50" t="str">
        <f>"Iteration " &amp; D50 &amp; " Completion"</f>
        <v>Iteration 2 Completion</v>
      </c>
      <c r="C50" s="51" t="s">
        <v>27</v>
      </c>
      <c r="D50" s="51">
        <v>2</v>
      </c>
      <c r="E50" s="52">
        <v>45608</v>
      </c>
      <c r="F50" s="52">
        <v>45611</v>
      </c>
      <c r="G50" s="53">
        <f t="shared" si="6"/>
        <v>3</v>
      </c>
      <c r="H50" s="70"/>
    </row>
    <row r="51" spans="1:8" x14ac:dyDescent="0.2">
      <c r="A51" s="35">
        <f>IF(B51="","",IF(D51=D48,A48+1,(D51*100)))</f>
        <v>200</v>
      </c>
      <c r="B51" s="5" t="s">
        <v>59</v>
      </c>
      <c r="C51" s="6" t="s">
        <v>32</v>
      </c>
      <c r="D51" s="6">
        <v>2</v>
      </c>
      <c r="E51" s="34">
        <v>45606</v>
      </c>
      <c r="F51" s="11">
        <v>45607</v>
      </c>
      <c r="G51" s="6">
        <f t="shared" si="6"/>
        <v>1</v>
      </c>
    </row>
    <row r="52" spans="1:8" x14ac:dyDescent="0.2">
      <c r="A52" s="35">
        <f>IF(B52="","",IF(D52=D57,A57+1,(D52*100)))</f>
        <v>202</v>
      </c>
      <c r="B52" s="5" t="s">
        <v>67</v>
      </c>
      <c r="C52" s="6" t="s">
        <v>33</v>
      </c>
      <c r="D52" s="6">
        <f>IF(B52="","",D57)</f>
        <v>2</v>
      </c>
      <c r="E52" s="34">
        <v>45606</v>
      </c>
      <c r="F52" s="11">
        <v>45610</v>
      </c>
      <c r="G52" s="6">
        <f t="shared" si="6"/>
        <v>4</v>
      </c>
    </row>
    <row r="53" spans="1:8" x14ac:dyDescent="0.2">
      <c r="A53" s="35">
        <f t="shared" si="5"/>
        <v>203</v>
      </c>
      <c r="B53" s="5" t="s">
        <v>66</v>
      </c>
      <c r="C53" s="6" t="s">
        <v>32</v>
      </c>
      <c r="D53" s="6">
        <f t="shared" ref="D53:D106" si="7">IF(B53="","",D52)</f>
        <v>2</v>
      </c>
      <c r="E53" s="84" t="s">
        <v>81</v>
      </c>
      <c r="F53" s="84"/>
      <c r="G53" s="84"/>
    </row>
    <row r="54" spans="1:8" x14ac:dyDescent="0.2">
      <c r="A54" s="35">
        <f t="shared" si="5"/>
        <v>204</v>
      </c>
      <c r="B54" s="5" t="s">
        <v>69</v>
      </c>
      <c r="C54" s="6" t="s">
        <v>34</v>
      </c>
      <c r="D54" s="6">
        <f t="shared" si="7"/>
        <v>2</v>
      </c>
      <c r="E54" s="34">
        <v>45606</v>
      </c>
      <c r="F54" s="11">
        <v>45609</v>
      </c>
      <c r="G54" s="6">
        <f t="shared" si="6"/>
        <v>3</v>
      </c>
    </row>
    <row r="55" spans="1:8" x14ac:dyDescent="0.2">
      <c r="A55" s="35">
        <f>IF(B55="","",IF(D55=D60,A60+1,(D55*100)))</f>
        <v>207</v>
      </c>
      <c r="B55" s="5" t="s">
        <v>72</v>
      </c>
      <c r="C55" s="6" t="s">
        <v>32</v>
      </c>
      <c r="D55" s="6">
        <f>IF(B55="","",D60)</f>
        <v>2</v>
      </c>
      <c r="E55" s="34">
        <v>45606</v>
      </c>
      <c r="F55" s="11">
        <v>45605</v>
      </c>
      <c r="G55" s="6">
        <f t="shared" ref="G55:G56" si="8">IF(B55="","",IF(AND(E55&gt;0,F55&gt;0),F55-E55,0))</f>
        <v>-1</v>
      </c>
    </row>
    <row r="56" spans="1:8" x14ac:dyDescent="0.2">
      <c r="A56" s="35">
        <f>IF(B56="","",IF(D56=D55,A55+1,(D56*100)))</f>
        <v>208</v>
      </c>
      <c r="B56" s="5" t="s">
        <v>73</v>
      </c>
      <c r="C56" s="6" t="s">
        <v>32</v>
      </c>
      <c r="D56" s="6">
        <f t="shared" ref="D56" si="9">IF(B56="","",D55)</f>
        <v>2</v>
      </c>
      <c r="E56" s="34">
        <v>45606</v>
      </c>
      <c r="F56" s="11">
        <v>45607</v>
      </c>
      <c r="G56" s="6">
        <f t="shared" si="8"/>
        <v>1</v>
      </c>
    </row>
    <row r="57" spans="1:8" x14ac:dyDescent="0.2">
      <c r="A57" s="35">
        <f>IF(B57="","",IF(D57=D51,A51+1,(D57*100)))</f>
        <v>201</v>
      </c>
      <c r="B57" s="5" t="s">
        <v>60</v>
      </c>
      <c r="C57" s="6" t="s">
        <v>33</v>
      </c>
      <c r="D57" s="6">
        <v>2</v>
      </c>
      <c r="E57" s="84" t="s">
        <v>58</v>
      </c>
      <c r="F57" s="84"/>
      <c r="G57" s="84"/>
      <c r="H57" s="63" t="s">
        <v>116</v>
      </c>
    </row>
    <row r="58" spans="1:8" x14ac:dyDescent="0.2">
      <c r="A58" s="35">
        <f>IF(B58="","",IF(D58=D56,A56+1,(D58*100)))</f>
        <v>209</v>
      </c>
      <c r="B58" s="5" t="s">
        <v>80</v>
      </c>
      <c r="C58" s="6" t="s">
        <v>74</v>
      </c>
      <c r="D58" s="6">
        <f>IF(B58="","",D56)</f>
        <v>2</v>
      </c>
      <c r="E58" s="84" t="s">
        <v>58</v>
      </c>
      <c r="F58" s="84"/>
      <c r="G58" s="84"/>
      <c r="H58" s="63" t="s">
        <v>116</v>
      </c>
    </row>
    <row r="59" spans="1:8" x14ac:dyDescent="0.2">
      <c r="A59" s="35">
        <f>IF(B59="","",IF(D59=D54,A54+1,(D59*100)))</f>
        <v>205</v>
      </c>
      <c r="B59" s="5" t="s">
        <v>76</v>
      </c>
      <c r="C59" s="6" t="s">
        <v>33</v>
      </c>
      <c r="D59" s="6">
        <f>IF(B59="","",D54)</f>
        <v>2</v>
      </c>
      <c r="E59" s="84" t="s">
        <v>58</v>
      </c>
      <c r="F59" s="84"/>
      <c r="G59" s="84"/>
    </row>
    <row r="60" spans="1:8" x14ac:dyDescent="0.2">
      <c r="A60" s="35">
        <f>IF(B60="","",IF(D60=D59,A59+1,(D60*100)))</f>
        <v>206</v>
      </c>
      <c r="B60" s="5" t="s">
        <v>79</v>
      </c>
      <c r="C60" s="6" t="s">
        <v>32</v>
      </c>
      <c r="D60" s="6">
        <f>IF(B60="","",D59)</f>
        <v>2</v>
      </c>
      <c r="E60" s="84" t="s">
        <v>81</v>
      </c>
      <c r="F60" s="84"/>
      <c r="G60" s="84"/>
      <c r="H60" s="63" t="s">
        <v>117</v>
      </c>
    </row>
    <row r="61" spans="1:8" x14ac:dyDescent="0.2">
      <c r="A61" s="35">
        <f>IF(B61="","",IF(D61=D58,A58+1,(D61*100)))</f>
        <v>210</v>
      </c>
      <c r="B61" s="5" t="s">
        <v>75</v>
      </c>
      <c r="C61" s="6" t="s">
        <v>33</v>
      </c>
      <c r="D61" s="6">
        <f>IF(B61="","",D58)</f>
        <v>2</v>
      </c>
      <c r="E61" s="34">
        <v>45606</v>
      </c>
      <c r="F61" s="11">
        <v>45603</v>
      </c>
      <c r="G61" s="6">
        <f>IF(B61="","",IF(AND(E61&gt;0,F61&gt;0),F61-E61,0))</f>
        <v>-3</v>
      </c>
    </row>
    <row r="62" spans="1:8" x14ac:dyDescent="0.2">
      <c r="A62" s="35">
        <f>IF(B62="","",IF(D62=D60,A60+1,(D62*100)))</f>
        <v>207</v>
      </c>
      <c r="B62" s="5" t="s">
        <v>77</v>
      </c>
      <c r="C62" s="6" t="s">
        <v>33</v>
      </c>
      <c r="D62" s="6">
        <f>IF(B62="","",D60)</f>
        <v>2</v>
      </c>
      <c r="E62" s="34">
        <f>IF(B62="","",IF(D62=D56,E56,E56+14))</f>
        <v>45606</v>
      </c>
      <c r="F62" s="11">
        <v>45607</v>
      </c>
      <c r="G62" s="6">
        <f t="shared" si="6"/>
        <v>1</v>
      </c>
    </row>
    <row r="63" spans="1:8" x14ac:dyDescent="0.2">
      <c r="A63" s="35">
        <f t="shared" si="5"/>
        <v>208</v>
      </c>
      <c r="B63" s="5" t="s">
        <v>43</v>
      </c>
      <c r="C63" s="6" t="s">
        <v>33</v>
      </c>
      <c r="D63" s="6">
        <f t="shared" si="7"/>
        <v>2</v>
      </c>
      <c r="E63" s="34">
        <f t="shared" ref="E63:E77" si="10">IF(B63="","",IF(D63=D62,E62,E62+14))</f>
        <v>45606</v>
      </c>
      <c r="F63" s="11">
        <v>45607</v>
      </c>
      <c r="G63" s="6">
        <f t="shared" si="6"/>
        <v>1</v>
      </c>
    </row>
    <row r="64" spans="1:8" x14ac:dyDescent="0.2">
      <c r="A64" s="35">
        <f t="shared" ref="A64" si="11">IF(B64="","",IF(D64=D63,A63+1,(D64*100)))</f>
        <v>209</v>
      </c>
      <c r="B64" s="5" t="s">
        <v>78</v>
      </c>
      <c r="C64" s="6" t="s">
        <v>34</v>
      </c>
      <c r="D64" s="6">
        <f t="shared" ref="D64" si="12">IF(B64="","",D63)</f>
        <v>2</v>
      </c>
      <c r="E64" s="34">
        <f t="shared" ref="E64" si="13">IF(B64="","",IF(D64=D63,E63,E63+14))</f>
        <v>45606</v>
      </c>
      <c r="F64" s="11">
        <v>45609</v>
      </c>
      <c r="G64" s="6">
        <f t="shared" ref="G64" si="14">IF(B64="","",IF(AND(E64&gt;0,F64&gt;0),F64-E64,0))</f>
        <v>3</v>
      </c>
    </row>
    <row r="65" spans="1:8" ht="19" customHeight="1" x14ac:dyDescent="0.2">
      <c r="A65" s="35">
        <f>IF(B65="","",IF(D65=Sheet1!D63,Sheet1!A63+1,(D65*100)))</f>
        <v>209</v>
      </c>
      <c r="B65" s="5" t="str">
        <f>"Iteration "&amp;D65&amp;" Test Report"</f>
        <v>Iteration 2 Test Report</v>
      </c>
      <c r="C65" s="6" t="s">
        <v>34</v>
      </c>
      <c r="D65" s="6">
        <v>2</v>
      </c>
      <c r="E65" s="34">
        <v>45607</v>
      </c>
      <c r="F65" s="11">
        <v>45611</v>
      </c>
      <c r="G65" s="6">
        <f>IF(B65="","",IF(AND(E65&gt;0,F65&gt;0),F65-E65,0))</f>
        <v>4</v>
      </c>
      <c r="H65" s="63" t="s">
        <v>118</v>
      </c>
    </row>
    <row r="66" spans="1:8" s="54" customFormat="1" ht="30.75" customHeight="1" x14ac:dyDescent="0.2">
      <c r="A66" s="49">
        <f>IF(B66="","",IF(D66=D60,A60+1,(D66*100)))</f>
        <v>300</v>
      </c>
      <c r="B66" s="50" t="str">
        <f>"Iteration " &amp; D66 &amp; " Completion"</f>
        <v>Iteration 3 Completion</v>
      </c>
      <c r="C66" s="51" t="s">
        <v>27</v>
      </c>
      <c r="D66" s="51">
        <v>3</v>
      </c>
      <c r="E66" s="52">
        <v>45608</v>
      </c>
      <c r="F66" s="51"/>
      <c r="G66" s="6">
        <f t="shared" ref="G66:G82" si="15">IF(AND(E66&gt;0,F66&gt;0),F66-E66,0)</f>
        <v>0</v>
      </c>
      <c r="H66" s="70"/>
    </row>
    <row r="67" spans="1:8" x14ac:dyDescent="0.2">
      <c r="A67" s="35">
        <f>IF(B67="","",IF(D67=D66,A66+1,(D67*100)))</f>
        <v>301</v>
      </c>
      <c r="B67" s="5" t="s">
        <v>97</v>
      </c>
      <c r="C67" s="6" t="s">
        <v>32</v>
      </c>
      <c r="D67" s="6">
        <v>3</v>
      </c>
      <c r="E67" s="34">
        <v>45613</v>
      </c>
      <c r="F67" s="34">
        <v>45612</v>
      </c>
      <c r="G67" s="6">
        <f t="shared" si="15"/>
        <v>-1</v>
      </c>
    </row>
    <row r="68" spans="1:8" x14ac:dyDescent="0.2">
      <c r="A68" s="35">
        <f t="shared" ref="A68:A106" si="16">IF(B68="","",IF(D68=D67,A67+1,(D68*100)))</f>
        <v>302</v>
      </c>
      <c r="B68" s="5" t="s">
        <v>82</v>
      </c>
      <c r="C68" s="6" t="s">
        <v>32</v>
      </c>
      <c r="D68" s="6">
        <v>3</v>
      </c>
      <c r="E68" s="34">
        <v>45613</v>
      </c>
      <c r="F68" s="11">
        <v>45612</v>
      </c>
      <c r="G68" s="6">
        <f t="shared" si="15"/>
        <v>-1</v>
      </c>
    </row>
    <row r="69" spans="1:8" x14ac:dyDescent="0.2">
      <c r="A69" s="35">
        <f t="shared" si="16"/>
        <v>303</v>
      </c>
      <c r="B69" s="5" t="s">
        <v>83</v>
      </c>
      <c r="C69" s="6" t="s">
        <v>32</v>
      </c>
      <c r="D69" s="6">
        <v>3</v>
      </c>
      <c r="E69" s="34">
        <v>45613</v>
      </c>
      <c r="F69" s="11">
        <v>45610</v>
      </c>
      <c r="G69" s="6">
        <f t="shared" si="15"/>
        <v>-3</v>
      </c>
    </row>
    <row r="70" spans="1:8" x14ac:dyDescent="0.2">
      <c r="A70" s="35">
        <f t="shared" si="16"/>
        <v>304</v>
      </c>
      <c r="B70" s="5" t="s">
        <v>84</v>
      </c>
      <c r="C70" s="6" t="s">
        <v>32</v>
      </c>
      <c r="D70" s="6">
        <v>3</v>
      </c>
      <c r="E70" s="34">
        <v>45613</v>
      </c>
      <c r="F70" s="11">
        <v>45612</v>
      </c>
      <c r="G70" s="6">
        <f t="shared" si="15"/>
        <v>-1</v>
      </c>
    </row>
    <row r="71" spans="1:8" x14ac:dyDescent="0.2">
      <c r="A71" s="35">
        <f t="shared" si="16"/>
        <v>305</v>
      </c>
      <c r="B71" s="5" t="s">
        <v>85</v>
      </c>
      <c r="C71" s="6" t="s">
        <v>32</v>
      </c>
      <c r="D71" s="6">
        <v>3</v>
      </c>
      <c r="E71" s="34">
        <v>45613</v>
      </c>
      <c r="F71" s="11">
        <v>45606</v>
      </c>
      <c r="G71" s="6">
        <f t="shared" si="15"/>
        <v>-7</v>
      </c>
    </row>
    <row r="72" spans="1:8" x14ac:dyDescent="0.2">
      <c r="A72" s="35">
        <f t="shared" si="16"/>
        <v>306</v>
      </c>
      <c r="B72" s="5" t="s">
        <v>86</v>
      </c>
      <c r="C72" s="6" t="s">
        <v>32</v>
      </c>
      <c r="D72" s="6">
        <v>3</v>
      </c>
      <c r="E72" s="34">
        <v>45613</v>
      </c>
      <c r="F72" s="11">
        <v>45613</v>
      </c>
      <c r="G72" s="6">
        <f t="shared" si="15"/>
        <v>0</v>
      </c>
    </row>
    <row r="73" spans="1:8" x14ac:dyDescent="0.2">
      <c r="A73" s="35">
        <f t="shared" si="16"/>
        <v>307</v>
      </c>
      <c r="B73" s="5" t="s">
        <v>88</v>
      </c>
      <c r="C73" s="6" t="s">
        <v>33</v>
      </c>
      <c r="D73" s="6">
        <v>3</v>
      </c>
      <c r="E73" s="34">
        <v>45613</v>
      </c>
      <c r="F73" s="11">
        <v>45616</v>
      </c>
      <c r="G73" s="6">
        <f t="shared" si="15"/>
        <v>3</v>
      </c>
    </row>
    <row r="74" spans="1:8" x14ac:dyDescent="0.2">
      <c r="A74" s="35">
        <f t="shared" si="16"/>
        <v>308</v>
      </c>
      <c r="B74" s="5" t="s">
        <v>90</v>
      </c>
      <c r="C74" s="6" t="s">
        <v>33</v>
      </c>
      <c r="D74" s="6">
        <v>3</v>
      </c>
      <c r="E74" s="34">
        <v>45613</v>
      </c>
      <c r="F74" s="11">
        <v>45613</v>
      </c>
      <c r="G74" s="6">
        <f t="shared" si="15"/>
        <v>0</v>
      </c>
    </row>
    <row r="75" spans="1:8" ht="19" customHeight="1" x14ac:dyDescent="0.2">
      <c r="A75" s="35">
        <f t="shared" si="16"/>
        <v>309</v>
      </c>
      <c r="B75" s="5" t="s">
        <v>29</v>
      </c>
      <c r="C75" s="6" t="s">
        <v>34</v>
      </c>
      <c r="D75" s="6">
        <v>3</v>
      </c>
      <c r="E75" s="34">
        <v>45613</v>
      </c>
      <c r="F75" s="11">
        <v>45616</v>
      </c>
      <c r="G75" s="6">
        <f t="shared" si="15"/>
        <v>3</v>
      </c>
      <c r="H75" s="63" t="s">
        <v>118</v>
      </c>
    </row>
    <row r="76" spans="1:8" x14ac:dyDescent="0.2">
      <c r="A76" s="35">
        <f t="shared" si="16"/>
        <v>310</v>
      </c>
      <c r="B76" s="5" t="s">
        <v>91</v>
      </c>
      <c r="C76" s="6" t="s">
        <v>33</v>
      </c>
      <c r="D76" s="6">
        <v>3</v>
      </c>
      <c r="E76" s="34">
        <f t="shared" si="10"/>
        <v>45613</v>
      </c>
      <c r="F76" s="11">
        <v>45613</v>
      </c>
      <c r="G76" s="6">
        <f t="shared" si="15"/>
        <v>0</v>
      </c>
    </row>
    <row r="77" spans="1:8" x14ac:dyDescent="0.2">
      <c r="A77" s="35">
        <f t="shared" si="16"/>
        <v>311</v>
      </c>
      <c r="B77" s="5" t="s">
        <v>95</v>
      </c>
      <c r="C77" s="6" t="s">
        <v>34</v>
      </c>
      <c r="D77" s="6">
        <f t="shared" si="7"/>
        <v>3</v>
      </c>
      <c r="E77" s="34">
        <f t="shared" si="10"/>
        <v>45613</v>
      </c>
      <c r="F77" s="11">
        <v>45616</v>
      </c>
      <c r="G77" s="6">
        <f t="shared" si="15"/>
        <v>3</v>
      </c>
    </row>
    <row r="78" spans="1:8" x14ac:dyDescent="0.2">
      <c r="A78" s="35">
        <f t="shared" si="16"/>
        <v>312</v>
      </c>
      <c r="B78" s="5" t="s">
        <v>96</v>
      </c>
      <c r="C78" s="6" t="s">
        <v>32</v>
      </c>
      <c r="D78" s="6">
        <f t="shared" si="7"/>
        <v>3</v>
      </c>
      <c r="E78" s="84" t="s">
        <v>81</v>
      </c>
      <c r="F78" s="84"/>
      <c r="G78" s="84"/>
      <c r="H78" s="63" t="s">
        <v>119</v>
      </c>
    </row>
    <row r="79" spans="1:8" x14ac:dyDescent="0.2">
      <c r="A79" s="35">
        <f t="shared" si="16"/>
        <v>313</v>
      </c>
      <c r="B79" s="5" t="s">
        <v>98</v>
      </c>
      <c r="C79" s="6" t="s">
        <v>33</v>
      </c>
      <c r="D79" s="6">
        <f t="shared" si="7"/>
        <v>3</v>
      </c>
      <c r="E79" s="34">
        <v>45615</v>
      </c>
      <c r="F79" s="11">
        <v>45616</v>
      </c>
      <c r="G79" s="6">
        <f>IF(AND(E79&gt;0,F79&gt;0),F79-E79,0)</f>
        <v>1</v>
      </c>
    </row>
    <row r="80" spans="1:8" x14ac:dyDescent="0.2">
      <c r="A80" s="35">
        <f t="shared" si="16"/>
        <v>314</v>
      </c>
      <c r="B80" s="5" t="s">
        <v>87</v>
      </c>
      <c r="C80" s="6" t="s">
        <v>33</v>
      </c>
      <c r="D80" s="6">
        <v>3</v>
      </c>
      <c r="E80" s="84" t="s">
        <v>81</v>
      </c>
      <c r="F80" s="84"/>
      <c r="G80" s="84"/>
    </row>
    <row r="81" spans="1:8" x14ac:dyDescent="0.2">
      <c r="A81" s="35">
        <f t="shared" si="16"/>
        <v>315</v>
      </c>
      <c r="B81" s="5" t="s">
        <v>89</v>
      </c>
      <c r="C81" s="6" t="s">
        <v>34</v>
      </c>
      <c r="D81" s="6">
        <f t="shared" si="7"/>
        <v>3</v>
      </c>
      <c r="E81" s="34">
        <v>45616</v>
      </c>
      <c r="F81" s="11">
        <v>45616</v>
      </c>
      <c r="G81" s="6">
        <f t="shared" si="15"/>
        <v>0</v>
      </c>
    </row>
    <row r="82" spans="1:8" x14ac:dyDescent="0.2">
      <c r="A82" s="35">
        <f t="shared" si="16"/>
        <v>316</v>
      </c>
      <c r="B82" s="5" t="str">
        <f>"Iteration "&amp;D75&amp;" Test Report"</f>
        <v>Iteration 3 Test Report</v>
      </c>
      <c r="C82" s="6" t="s">
        <v>34</v>
      </c>
      <c r="D82" s="6">
        <v>3</v>
      </c>
      <c r="E82" s="34">
        <v>45616</v>
      </c>
      <c r="F82" s="34">
        <v>45616</v>
      </c>
      <c r="G82" s="6">
        <f t="shared" si="15"/>
        <v>0</v>
      </c>
    </row>
    <row r="83" spans="1:8" s="54" customFormat="1" ht="30.75" customHeight="1" x14ac:dyDescent="0.2">
      <c r="A83" s="35">
        <f t="shared" si="16"/>
        <v>400</v>
      </c>
      <c r="B83" s="50" t="str">
        <f>"Iteration " &amp; D83 &amp; " Completion"</f>
        <v>Iteration 4 Completion</v>
      </c>
      <c r="C83" s="51" t="s">
        <v>27</v>
      </c>
      <c r="D83" s="51">
        <v>4</v>
      </c>
      <c r="E83" s="34">
        <v>45628</v>
      </c>
      <c r="F83" s="73">
        <v>45628</v>
      </c>
      <c r="G83" s="6">
        <f t="shared" ref="G83" si="17">IF(AND(E83&gt;0,F83&gt;0),F83-E83,0)</f>
        <v>0</v>
      </c>
      <c r="H83" s="70"/>
    </row>
    <row r="84" spans="1:8" x14ac:dyDescent="0.2">
      <c r="A84" s="35">
        <f t="shared" si="16"/>
        <v>401</v>
      </c>
      <c r="B84" s="5" t="s">
        <v>100</v>
      </c>
      <c r="C84" s="6" t="s">
        <v>32</v>
      </c>
      <c r="D84" s="6">
        <v>4</v>
      </c>
      <c r="E84" s="34">
        <v>45625</v>
      </c>
      <c r="G84" s="6">
        <f t="shared" si="6"/>
        <v>0</v>
      </c>
    </row>
    <row r="85" spans="1:8" ht="17" x14ac:dyDescent="0.2">
      <c r="A85" s="35">
        <f t="shared" si="16"/>
        <v>402</v>
      </c>
      <c r="B85" s="71" t="s">
        <v>109</v>
      </c>
      <c r="C85" s="6" t="s">
        <v>32</v>
      </c>
      <c r="D85" s="6">
        <v>4</v>
      </c>
      <c r="E85" s="34">
        <v>45625</v>
      </c>
      <c r="F85" s="11">
        <v>45620</v>
      </c>
      <c r="G85" s="6">
        <f t="shared" si="6"/>
        <v>-5</v>
      </c>
    </row>
    <row r="86" spans="1:8" x14ac:dyDescent="0.2">
      <c r="A86" s="35">
        <f>IF(B86="","",IF(D86=D91,A91+1,(D86*100)))</f>
        <v>407</v>
      </c>
      <c r="B86" s="5" t="s">
        <v>103</v>
      </c>
      <c r="C86" s="6" t="s">
        <v>32</v>
      </c>
      <c r="D86" s="6">
        <f>IF(B86="","",D91)</f>
        <v>4</v>
      </c>
      <c r="E86" s="34">
        <v>45628</v>
      </c>
      <c r="F86" s="11">
        <v>45622</v>
      </c>
      <c r="G86" s="6">
        <f>IF(B86="","",IF(AND(E86&gt;0,F86&gt;0),F86-E86,0))</f>
        <v>-6</v>
      </c>
    </row>
    <row r="87" spans="1:8" x14ac:dyDescent="0.2">
      <c r="A87" s="35">
        <f>IF(B87="","",IF(D87=D86,A86+1,(D87*100)))</f>
        <v>408</v>
      </c>
      <c r="B87" s="5" t="s">
        <v>104</v>
      </c>
      <c r="C87" s="6" t="s">
        <v>32</v>
      </c>
      <c r="D87" s="6">
        <f>IF(B87="","",D86)</f>
        <v>4</v>
      </c>
      <c r="E87" s="34">
        <v>45628</v>
      </c>
      <c r="F87" s="11">
        <v>45622</v>
      </c>
      <c r="G87" s="6">
        <f>IF(B87="","",IF(AND(E87&gt;0,F87&gt;0),F87-E87,0))</f>
        <v>-6</v>
      </c>
    </row>
    <row r="88" spans="1:8" x14ac:dyDescent="0.2">
      <c r="A88" s="35">
        <f>IF(B88="","",IF(D88=D85,A85+1,(D88*100)))</f>
        <v>403</v>
      </c>
      <c r="B88" s="5" t="s">
        <v>102</v>
      </c>
      <c r="C88" s="6" t="s">
        <v>33</v>
      </c>
      <c r="D88" s="6">
        <v>4</v>
      </c>
      <c r="E88" s="34">
        <v>45625</v>
      </c>
      <c r="F88" s="11">
        <v>45618</v>
      </c>
      <c r="G88" s="6">
        <f t="shared" si="6"/>
        <v>-7</v>
      </c>
    </row>
    <row r="89" spans="1:8" x14ac:dyDescent="0.2">
      <c r="A89" s="35">
        <f t="shared" si="16"/>
        <v>404</v>
      </c>
      <c r="B89" s="5" t="s">
        <v>101</v>
      </c>
      <c r="C89" s="6" t="s">
        <v>33</v>
      </c>
      <c r="D89" s="6">
        <f t="shared" si="7"/>
        <v>4</v>
      </c>
      <c r="E89" s="34">
        <v>45625</v>
      </c>
      <c r="F89" s="11">
        <v>45618</v>
      </c>
      <c r="G89" s="6">
        <f t="shared" si="6"/>
        <v>-7</v>
      </c>
    </row>
    <row r="90" spans="1:8" x14ac:dyDescent="0.2">
      <c r="A90" s="35">
        <f t="shared" si="16"/>
        <v>405</v>
      </c>
      <c r="B90" s="5" t="s">
        <v>87</v>
      </c>
      <c r="C90" s="6" t="s">
        <v>33</v>
      </c>
      <c r="D90" s="6">
        <f t="shared" si="7"/>
        <v>4</v>
      </c>
      <c r="E90" s="34">
        <v>45625</v>
      </c>
      <c r="F90" s="11">
        <v>45620</v>
      </c>
      <c r="G90" s="6">
        <f t="shared" si="6"/>
        <v>-5</v>
      </c>
    </row>
    <row r="91" spans="1:8" x14ac:dyDescent="0.2">
      <c r="A91" s="35">
        <f t="shared" si="16"/>
        <v>406</v>
      </c>
      <c r="B91" s="5" t="s">
        <v>99</v>
      </c>
      <c r="C91" s="6" t="s">
        <v>33</v>
      </c>
      <c r="D91" s="6">
        <f t="shared" si="7"/>
        <v>4</v>
      </c>
      <c r="E91" s="34">
        <v>45625</v>
      </c>
      <c r="F91" s="11">
        <v>45618</v>
      </c>
      <c r="G91" s="6">
        <f t="shared" si="6"/>
        <v>-7</v>
      </c>
    </row>
    <row r="92" spans="1:8" x14ac:dyDescent="0.2">
      <c r="A92" s="35">
        <f>IF(B92="","",IF(D92=D87,A87+1,(D92*100)))</f>
        <v>409</v>
      </c>
      <c r="B92" s="5" t="s">
        <v>105</v>
      </c>
      <c r="C92" s="6" t="s">
        <v>33</v>
      </c>
      <c r="D92" s="6">
        <f>IF(B92="","",D87)</f>
        <v>4</v>
      </c>
      <c r="E92" s="34">
        <v>45628</v>
      </c>
      <c r="F92" s="11">
        <v>45620</v>
      </c>
      <c r="G92" s="6">
        <f>IF(B92="","",IF(AND(E92&gt;0,F92&gt;0),F92-E92,0))</f>
        <v>-8</v>
      </c>
    </row>
    <row r="93" spans="1:8" ht="15.5" customHeight="1" x14ac:dyDescent="0.2">
      <c r="A93" s="75" t="s">
        <v>110</v>
      </c>
      <c r="B93" s="75"/>
      <c r="C93" s="75"/>
      <c r="D93" s="75"/>
      <c r="E93" s="75"/>
      <c r="F93" s="75"/>
      <c r="G93" s="75"/>
    </row>
    <row r="94" spans="1:8" x14ac:dyDescent="0.2">
      <c r="A94" s="35">
        <f>IF(B94="","",IF(D94=D92,A92+1,(D94*100)))</f>
        <v>410</v>
      </c>
      <c r="B94" s="5" t="s">
        <v>108</v>
      </c>
      <c r="C94" s="6" t="s">
        <v>34</v>
      </c>
      <c r="D94" s="6">
        <f>IF(B94="","",D92)</f>
        <v>4</v>
      </c>
      <c r="E94" s="34">
        <v>45628</v>
      </c>
      <c r="F94" s="11">
        <v>45627</v>
      </c>
      <c r="G94" s="6">
        <f>IF(B94="","",IF(AND(E94&gt;0,F94&gt;0),F94-E94,0))</f>
        <v>-1</v>
      </c>
    </row>
    <row r="95" spans="1:8" ht="15.5" customHeight="1" x14ac:dyDescent="0.2">
      <c r="A95" s="35">
        <f>IF(B95="","",IF(D95=D94,A94+1,(D95*100)))</f>
        <v>411</v>
      </c>
      <c r="B95" s="5" t="s">
        <v>41</v>
      </c>
      <c r="C95" s="6" t="s">
        <v>32</v>
      </c>
      <c r="D95" s="6">
        <f>IF(B95="","",D94)</f>
        <v>4</v>
      </c>
      <c r="E95" s="34">
        <v>45628</v>
      </c>
      <c r="G95" s="6">
        <f t="shared" ref="G95:G143" si="18">IF(B95="","",IF(AND(E95&gt;0,F95&gt;0),F95-E95,0))</f>
        <v>0</v>
      </c>
    </row>
    <row r="96" spans="1:8" x14ac:dyDescent="0.2">
      <c r="A96" s="35">
        <f t="shared" si="16"/>
        <v>412</v>
      </c>
      <c r="B96" s="5" t="s">
        <v>28</v>
      </c>
      <c r="C96" s="6" t="s">
        <v>68</v>
      </c>
      <c r="D96" s="6">
        <f t="shared" si="7"/>
        <v>4</v>
      </c>
      <c r="E96" s="34">
        <v>45628</v>
      </c>
      <c r="F96" s="11">
        <v>45628</v>
      </c>
      <c r="G96" s="6">
        <f t="shared" si="18"/>
        <v>0</v>
      </c>
    </row>
    <row r="97" spans="1:7" x14ac:dyDescent="0.2">
      <c r="A97" s="35">
        <f t="shared" si="16"/>
        <v>413</v>
      </c>
      <c r="B97" s="5" t="s">
        <v>29</v>
      </c>
      <c r="C97" s="6" t="s">
        <v>34</v>
      </c>
      <c r="D97" s="6">
        <f t="shared" si="7"/>
        <v>4</v>
      </c>
      <c r="E97" s="34">
        <v>45628</v>
      </c>
      <c r="F97" s="11">
        <v>45628</v>
      </c>
      <c r="G97" s="6">
        <f t="shared" si="18"/>
        <v>0</v>
      </c>
    </row>
    <row r="98" spans="1:7" x14ac:dyDescent="0.2">
      <c r="A98" s="35">
        <f t="shared" si="16"/>
        <v>414</v>
      </c>
      <c r="B98" s="5" t="s">
        <v>38</v>
      </c>
      <c r="C98" s="6" t="s">
        <v>34</v>
      </c>
      <c r="D98" s="6">
        <f t="shared" si="7"/>
        <v>4</v>
      </c>
      <c r="E98" s="34">
        <v>45628</v>
      </c>
      <c r="F98" s="11">
        <v>45628</v>
      </c>
      <c r="G98" s="6">
        <f t="shared" si="18"/>
        <v>0</v>
      </c>
    </row>
    <row r="99" spans="1:7" x14ac:dyDescent="0.2">
      <c r="A99" s="35">
        <f t="shared" si="16"/>
        <v>415</v>
      </c>
      <c r="B99" s="5" t="s">
        <v>37</v>
      </c>
      <c r="C99" s="6" t="s">
        <v>34</v>
      </c>
      <c r="D99" s="6">
        <f t="shared" si="7"/>
        <v>4</v>
      </c>
      <c r="E99" s="34">
        <v>45628</v>
      </c>
      <c r="F99" s="11">
        <v>45628</v>
      </c>
      <c r="G99" s="6">
        <f t="shared" si="18"/>
        <v>0</v>
      </c>
    </row>
    <row r="100" spans="1:7" x14ac:dyDescent="0.2">
      <c r="A100" s="35">
        <f t="shared" si="16"/>
        <v>416</v>
      </c>
      <c r="B100" s="5" t="s">
        <v>42</v>
      </c>
      <c r="C100" s="6" t="s">
        <v>27</v>
      </c>
      <c r="D100" s="6">
        <f t="shared" si="7"/>
        <v>4</v>
      </c>
      <c r="E100" s="34">
        <v>45628</v>
      </c>
      <c r="F100" s="11">
        <v>45628</v>
      </c>
      <c r="G100" s="6">
        <f t="shared" si="18"/>
        <v>0</v>
      </c>
    </row>
    <row r="101" spans="1:7" x14ac:dyDescent="0.2">
      <c r="A101" s="35">
        <f t="shared" si="16"/>
        <v>417</v>
      </c>
      <c r="B101" s="5" t="s">
        <v>43</v>
      </c>
      <c r="C101" s="6" t="s">
        <v>33</v>
      </c>
      <c r="D101" s="6">
        <f t="shared" si="7"/>
        <v>4</v>
      </c>
      <c r="E101" s="34">
        <v>45628</v>
      </c>
      <c r="F101" s="11">
        <f>F63</f>
        <v>45607</v>
      </c>
      <c r="G101" s="6">
        <f t="shared" si="18"/>
        <v>-21</v>
      </c>
    </row>
    <row r="102" spans="1:7" x14ac:dyDescent="0.2">
      <c r="A102" s="35">
        <f t="shared" si="16"/>
        <v>418</v>
      </c>
      <c r="B102" s="5" t="s">
        <v>93</v>
      </c>
      <c r="C102" s="6" t="s">
        <v>33</v>
      </c>
      <c r="D102" s="6">
        <f t="shared" si="7"/>
        <v>4</v>
      </c>
      <c r="E102" s="34">
        <v>45628</v>
      </c>
      <c r="F102" s="11">
        <v>45628</v>
      </c>
      <c r="G102" s="6">
        <f t="shared" si="18"/>
        <v>0</v>
      </c>
    </row>
    <row r="103" spans="1:7" x14ac:dyDescent="0.2">
      <c r="A103" s="35">
        <f t="shared" si="16"/>
        <v>419</v>
      </c>
      <c r="B103" s="5" t="s">
        <v>94</v>
      </c>
      <c r="C103" s="6" t="s">
        <v>32</v>
      </c>
      <c r="D103" s="6">
        <f t="shared" si="7"/>
        <v>4</v>
      </c>
      <c r="E103" s="34">
        <v>45628</v>
      </c>
      <c r="G103" s="6">
        <f t="shared" si="18"/>
        <v>0</v>
      </c>
    </row>
    <row r="104" spans="1:7" ht="34" x14ac:dyDescent="0.2">
      <c r="A104" s="35">
        <f t="shared" si="16"/>
        <v>420</v>
      </c>
      <c r="B104" s="72" t="s">
        <v>106</v>
      </c>
      <c r="C104" s="6" t="s">
        <v>34</v>
      </c>
      <c r="D104" s="6">
        <f t="shared" si="7"/>
        <v>4</v>
      </c>
      <c r="E104" s="34">
        <v>45628</v>
      </c>
      <c r="F104" s="11">
        <v>45627</v>
      </c>
      <c r="G104" s="6">
        <f>IF(B104="","",IF(AND(E104&gt;0,F104&gt;0),F104-E104,0))</f>
        <v>-1</v>
      </c>
    </row>
    <row r="105" spans="1:7" x14ac:dyDescent="0.2">
      <c r="A105" s="35">
        <f t="shared" si="16"/>
        <v>421</v>
      </c>
      <c r="B105" s="5" t="s">
        <v>107</v>
      </c>
      <c r="C105" s="6" t="s">
        <v>34</v>
      </c>
      <c r="D105" s="6">
        <f t="shared" si="7"/>
        <v>4</v>
      </c>
      <c r="E105" s="34">
        <v>45628</v>
      </c>
      <c r="F105" s="74">
        <v>45627</v>
      </c>
      <c r="G105" s="6">
        <f>IF(B105="","",IF(AND(E105&gt;0,F105&gt;0),F105-E105,0))</f>
        <v>-1</v>
      </c>
    </row>
    <row r="106" spans="1:7" x14ac:dyDescent="0.2">
      <c r="A106" s="35">
        <f t="shared" si="16"/>
        <v>422</v>
      </c>
      <c r="B106" s="5" t="s">
        <v>92</v>
      </c>
      <c r="C106" s="6" t="s">
        <v>27</v>
      </c>
      <c r="D106" s="6">
        <f t="shared" si="7"/>
        <v>4</v>
      </c>
      <c r="E106" s="34">
        <v>45629</v>
      </c>
      <c r="F106" s="11">
        <v>45629</v>
      </c>
      <c r="G106" s="6">
        <f>IF(B106="","",IF(AND(E106&gt;0,F106&gt;0),F106-E106,0))</f>
        <v>0</v>
      </c>
    </row>
    <row r="107" spans="1:7" x14ac:dyDescent="0.2">
      <c r="A107" s="35" t="str">
        <f>IF(B107="","",IF(D107=#REF!,#REF!+1,(D107*100)))</f>
        <v/>
      </c>
      <c r="D107" s="6" t="str">
        <f>IF(B107="","",#REF!)</f>
        <v/>
      </c>
      <c r="E107" s="34" t="str">
        <f>IF(B107="","",IF(D107=#REF!,#REF!,#REF!+14))</f>
        <v/>
      </c>
      <c r="G107" s="6" t="str">
        <f t="shared" si="18"/>
        <v/>
      </c>
    </row>
    <row r="108" spans="1:7" x14ac:dyDescent="0.2">
      <c r="A108" s="35" t="str">
        <f t="shared" ref="A108:A143" si="19">IF(B108="","",IF(D108=D107,A107+1,(D108*100)))</f>
        <v/>
      </c>
      <c r="D108" s="6" t="str">
        <f t="shared" ref="D108:D143" si="20">IF(B108="","",D107)</f>
        <v/>
      </c>
      <c r="E108" s="34" t="str">
        <f t="shared" ref="E108:E143" si="21">IF(B108="","",IF(D108=D107,E107,E107+14))</f>
        <v/>
      </c>
      <c r="G108" s="6" t="str">
        <f t="shared" si="18"/>
        <v/>
      </c>
    </row>
    <row r="109" spans="1:7" x14ac:dyDescent="0.2">
      <c r="A109" s="35" t="str">
        <f t="shared" si="19"/>
        <v/>
      </c>
      <c r="D109" s="6" t="str">
        <f t="shared" si="20"/>
        <v/>
      </c>
      <c r="E109" s="34" t="str">
        <f t="shared" si="21"/>
        <v/>
      </c>
      <c r="G109" s="6" t="str">
        <f t="shared" si="18"/>
        <v/>
      </c>
    </row>
    <row r="110" spans="1:7" x14ac:dyDescent="0.2">
      <c r="A110" s="35" t="str">
        <f t="shared" si="19"/>
        <v/>
      </c>
      <c r="D110" s="6" t="str">
        <f t="shared" si="20"/>
        <v/>
      </c>
      <c r="E110" s="34" t="str">
        <f t="shared" si="21"/>
        <v/>
      </c>
      <c r="G110" s="6" t="str">
        <f t="shared" si="18"/>
        <v/>
      </c>
    </row>
    <row r="111" spans="1:7" x14ac:dyDescent="0.2">
      <c r="A111" s="35" t="str">
        <f t="shared" si="19"/>
        <v/>
      </c>
      <c r="D111" s="6" t="str">
        <f t="shared" si="20"/>
        <v/>
      </c>
      <c r="E111" s="34" t="str">
        <f t="shared" si="21"/>
        <v/>
      </c>
      <c r="G111" s="6" t="str">
        <f t="shared" si="18"/>
        <v/>
      </c>
    </row>
    <row r="112" spans="1:7" x14ac:dyDescent="0.2">
      <c r="A112" s="35" t="str">
        <f t="shared" si="19"/>
        <v/>
      </c>
      <c r="D112" s="6" t="str">
        <f t="shared" si="20"/>
        <v/>
      </c>
      <c r="E112" s="34" t="str">
        <f t="shared" si="21"/>
        <v/>
      </c>
      <c r="G112" s="6" t="str">
        <f t="shared" si="18"/>
        <v/>
      </c>
    </row>
    <row r="113" spans="1:7" x14ac:dyDescent="0.2">
      <c r="A113" s="35" t="str">
        <f t="shared" si="19"/>
        <v/>
      </c>
      <c r="D113" s="6" t="str">
        <f t="shared" si="20"/>
        <v/>
      </c>
      <c r="E113" s="34" t="str">
        <f t="shared" si="21"/>
        <v/>
      </c>
      <c r="G113" s="6" t="str">
        <f t="shared" si="18"/>
        <v/>
      </c>
    </row>
    <row r="114" spans="1:7" x14ac:dyDescent="0.2">
      <c r="A114" s="35" t="str">
        <f t="shared" si="19"/>
        <v/>
      </c>
      <c r="D114" s="6" t="str">
        <f t="shared" si="20"/>
        <v/>
      </c>
      <c r="E114" s="34" t="str">
        <f t="shared" si="21"/>
        <v/>
      </c>
      <c r="G114" s="6" t="str">
        <f t="shared" si="18"/>
        <v/>
      </c>
    </row>
    <row r="115" spans="1:7" x14ac:dyDescent="0.2">
      <c r="A115" s="35" t="str">
        <f t="shared" si="19"/>
        <v/>
      </c>
      <c r="D115" s="6" t="str">
        <f t="shared" si="20"/>
        <v/>
      </c>
      <c r="E115" s="34" t="str">
        <f t="shared" si="21"/>
        <v/>
      </c>
      <c r="G115" s="6" t="str">
        <f t="shared" si="18"/>
        <v/>
      </c>
    </row>
    <row r="116" spans="1:7" x14ac:dyDescent="0.2">
      <c r="A116" s="35" t="str">
        <f t="shared" si="19"/>
        <v/>
      </c>
      <c r="D116" s="6" t="str">
        <f t="shared" si="20"/>
        <v/>
      </c>
      <c r="E116" s="34" t="str">
        <f t="shared" si="21"/>
        <v/>
      </c>
      <c r="G116" s="6" t="str">
        <f t="shared" si="18"/>
        <v/>
      </c>
    </row>
    <row r="117" spans="1:7" x14ac:dyDescent="0.2">
      <c r="A117" s="35" t="str">
        <f t="shared" si="19"/>
        <v/>
      </c>
      <c r="D117" s="6" t="str">
        <f t="shared" si="20"/>
        <v/>
      </c>
      <c r="E117" s="34" t="str">
        <f t="shared" si="21"/>
        <v/>
      </c>
      <c r="G117" s="6" t="str">
        <f t="shared" si="18"/>
        <v/>
      </c>
    </row>
    <row r="118" spans="1:7" x14ac:dyDescent="0.2">
      <c r="A118" s="35" t="str">
        <f t="shared" si="19"/>
        <v/>
      </c>
      <c r="D118" s="6" t="str">
        <f t="shared" si="20"/>
        <v/>
      </c>
      <c r="E118" s="34" t="str">
        <f t="shared" si="21"/>
        <v/>
      </c>
      <c r="G118" s="6" t="str">
        <f t="shared" si="18"/>
        <v/>
      </c>
    </row>
    <row r="119" spans="1:7" x14ac:dyDescent="0.2">
      <c r="A119" s="35" t="str">
        <f t="shared" si="19"/>
        <v/>
      </c>
      <c r="D119" s="6" t="str">
        <f t="shared" si="20"/>
        <v/>
      </c>
      <c r="E119" s="34" t="str">
        <f t="shared" si="21"/>
        <v/>
      </c>
      <c r="G119" s="6" t="str">
        <f t="shared" si="18"/>
        <v/>
      </c>
    </row>
    <row r="120" spans="1:7" x14ac:dyDescent="0.2">
      <c r="A120" s="35" t="str">
        <f t="shared" si="19"/>
        <v/>
      </c>
      <c r="D120" s="6" t="str">
        <f t="shared" si="20"/>
        <v/>
      </c>
      <c r="E120" s="34" t="str">
        <f t="shared" si="21"/>
        <v/>
      </c>
      <c r="G120" s="6" t="str">
        <f t="shared" si="18"/>
        <v/>
      </c>
    </row>
    <row r="121" spans="1:7" x14ac:dyDescent="0.2">
      <c r="A121" s="35" t="str">
        <f t="shared" si="19"/>
        <v/>
      </c>
      <c r="D121" s="6" t="str">
        <f t="shared" si="20"/>
        <v/>
      </c>
      <c r="E121" s="34" t="str">
        <f t="shared" si="21"/>
        <v/>
      </c>
      <c r="G121" s="6" t="str">
        <f t="shared" si="18"/>
        <v/>
      </c>
    </row>
    <row r="122" spans="1:7" x14ac:dyDescent="0.2">
      <c r="A122" s="35" t="str">
        <f t="shared" si="19"/>
        <v/>
      </c>
      <c r="D122" s="6" t="str">
        <f t="shared" si="20"/>
        <v/>
      </c>
      <c r="E122" s="34" t="str">
        <f t="shared" si="21"/>
        <v/>
      </c>
      <c r="G122" s="6" t="str">
        <f t="shared" si="18"/>
        <v/>
      </c>
    </row>
    <row r="123" spans="1:7" x14ac:dyDescent="0.2">
      <c r="A123" s="35" t="str">
        <f t="shared" si="19"/>
        <v/>
      </c>
      <c r="D123" s="6" t="str">
        <f t="shared" si="20"/>
        <v/>
      </c>
      <c r="E123" s="34" t="str">
        <f t="shared" si="21"/>
        <v/>
      </c>
      <c r="G123" s="6" t="str">
        <f t="shared" si="18"/>
        <v/>
      </c>
    </row>
    <row r="124" spans="1:7" x14ac:dyDescent="0.2">
      <c r="A124" s="35" t="str">
        <f t="shared" si="19"/>
        <v/>
      </c>
      <c r="D124" s="6" t="str">
        <f t="shared" si="20"/>
        <v/>
      </c>
      <c r="E124" s="34" t="str">
        <f t="shared" si="21"/>
        <v/>
      </c>
      <c r="G124" s="6" t="str">
        <f t="shared" si="18"/>
        <v/>
      </c>
    </row>
    <row r="125" spans="1:7" x14ac:dyDescent="0.2">
      <c r="A125" s="35" t="str">
        <f t="shared" si="19"/>
        <v/>
      </c>
      <c r="D125" s="6" t="str">
        <f t="shared" si="20"/>
        <v/>
      </c>
      <c r="E125" s="34" t="str">
        <f t="shared" si="21"/>
        <v/>
      </c>
      <c r="G125" s="6" t="str">
        <f t="shared" si="18"/>
        <v/>
      </c>
    </row>
    <row r="126" spans="1:7" x14ac:dyDescent="0.2">
      <c r="A126" s="35" t="str">
        <f t="shared" si="19"/>
        <v/>
      </c>
      <c r="D126" s="6" t="str">
        <f t="shared" si="20"/>
        <v/>
      </c>
      <c r="E126" s="34" t="str">
        <f t="shared" si="21"/>
        <v/>
      </c>
      <c r="G126" s="6" t="str">
        <f t="shared" si="18"/>
        <v/>
      </c>
    </row>
    <row r="127" spans="1:7" x14ac:dyDescent="0.2">
      <c r="A127" s="35" t="str">
        <f t="shared" si="19"/>
        <v/>
      </c>
      <c r="D127" s="6" t="str">
        <f t="shared" si="20"/>
        <v/>
      </c>
      <c r="E127" s="34" t="str">
        <f t="shared" si="21"/>
        <v/>
      </c>
      <c r="G127" s="6" t="str">
        <f t="shared" si="18"/>
        <v/>
      </c>
    </row>
    <row r="128" spans="1:7" x14ac:dyDescent="0.2">
      <c r="A128" s="35" t="str">
        <f t="shared" si="19"/>
        <v/>
      </c>
      <c r="D128" s="6" t="str">
        <f t="shared" si="20"/>
        <v/>
      </c>
      <c r="E128" s="34" t="str">
        <f t="shared" si="21"/>
        <v/>
      </c>
      <c r="G128" s="6" t="str">
        <f t="shared" si="18"/>
        <v/>
      </c>
    </row>
    <row r="129" spans="1:7" x14ac:dyDescent="0.2">
      <c r="A129" s="35" t="str">
        <f t="shared" si="19"/>
        <v/>
      </c>
      <c r="D129" s="6" t="str">
        <f t="shared" si="20"/>
        <v/>
      </c>
      <c r="E129" s="34" t="str">
        <f t="shared" si="21"/>
        <v/>
      </c>
      <c r="G129" s="6" t="str">
        <f t="shared" si="18"/>
        <v/>
      </c>
    </row>
    <row r="130" spans="1:7" x14ac:dyDescent="0.2">
      <c r="A130" s="35" t="str">
        <f t="shared" si="19"/>
        <v/>
      </c>
      <c r="D130" s="6" t="str">
        <f t="shared" si="20"/>
        <v/>
      </c>
      <c r="E130" s="34" t="str">
        <f t="shared" si="21"/>
        <v/>
      </c>
      <c r="G130" s="6" t="str">
        <f t="shared" si="18"/>
        <v/>
      </c>
    </row>
    <row r="131" spans="1:7" x14ac:dyDescent="0.2">
      <c r="A131" s="35" t="str">
        <f t="shared" si="19"/>
        <v/>
      </c>
      <c r="D131" s="6" t="str">
        <f t="shared" si="20"/>
        <v/>
      </c>
      <c r="E131" s="34" t="str">
        <f t="shared" si="21"/>
        <v/>
      </c>
      <c r="G131" s="6" t="str">
        <f t="shared" si="18"/>
        <v/>
      </c>
    </row>
    <row r="132" spans="1:7" x14ac:dyDescent="0.2">
      <c r="A132" s="35" t="str">
        <f t="shared" si="19"/>
        <v/>
      </c>
      <c r="D132" s="6" t="str">
        <f t="shared" si="20"/>
        <v/>
      </c>
      <c r="E132" s="34" t="str">
        <f t="shared" si="21"/>
        <v/>
      </c>
      <c r="G132" s="6" t="str">
        <f t="shared" si="18"/>
        <v/>
      </c>
    </row>
    <row r="133" spans="1:7" x14ac:dyDescent="0.2">
      <c r="A133" s="35" t="str">
        <f t="shared" si="19"/>
        <v/>
      </c>
      <c r="D133" s="6" t="str">
        <f t="shared" si="20"/>
        <v/>
      </c>
      <c r="E133" s="34" t="str">
        <f t="shared" si="21"/>
        <v/>
      </c>
      <c r="G133" s="6" t="str">
        <f t="shared" si="18"/>
        <v/>
      </c>
    </row>
    <row r="134" spans="1:7" x14ac:dyDescent="0.2">
      <c r="A134" s="35" t="str">
        <f t="shared" si="19"/>
        <v/>
      </c>
      <c r="D134" s="6" t="str">
        <f t="shared" si="20"/>
        <v/>
      </c>
      <c r="E134" s="34" t="str">
        <f t="shared" si="21"/>
        <v/>
      </c>
      <c r="G134" s="6" t="str">
        <f t="shared" si="18"/>
        <v/>
      </c>
    </row>
    <row r="135" spans="1:7" x14ac:dyDescent="0.2">
      <c r="A135" s="35" t="str">
        <f t="shared" si="19"/>
        <v/>
      </c>
      <c r="D135" s="6" t="str">
        <f t="shared" si="20"/>
        <v/>
      </c>
      <c r="E135" s="34" t="str">
        <f t="shared" si="21"/>
        <v/>
      </c>
      <c r="G135" s="6" t="str">
        <f t="shared" si="18"/>
        <v/>
      </c>
    </row>
    <row r="136" spans="1:7" x14ac:dyDescent="0.2">
      <c r="A136" s="35" t="str">
        <f t="shared" si="19"/>
        <v/>
      </c>
      <c r="D136" s="6" t="str">
        <f t="shared" si="20"/>
        <v/>
      </c>
      <c r="E136" s="34" t="str">
        <f t="shared" si="21"/>
        <v/>
      </c>
      <c r="G136" s="6" t="str">
        <f t="shared" si="18"/>
        <v/>
      </c>
    </row>
    <row r="137" spans="1:7" x14ac:dyDescent="0.2">
      <c r="A137" s="35" t="str">
        <f t="shared" si="19"/>
        <v/>
      </c>
      <c r="D137" s="6" t="str">
        <f t="shared" si="20"/>
        <v/>
      </c>
      <c r="E137" s="34" t="str">
        <f t="shared" si="21"/>
        <v/>
      </c>
      <c r="G137" s="6" t="str">
        <f t="shared" si="18"/>
        <v/>
      </c>
    </row>
    <row r="138" spans="1:7" x14ac:dyDescent="0.2">
      <c r="A138" s="35" t="str">
        <f t="shared" si="19"/>
        <v/>
      </c>
      <c r="D138" s="6" t="str">
        <f t="shared" si="20"/>
        <v/>
      </c>
      <c r="E138" s="34" t="str">
        <f t="shared" si="21"/>
        <v/>
      </c>
      <c r="G138" s="6" t="str">
        <f t="shared" si="18"/>
        <v/>
      </c>
    </row>
    <row r="139" spans="1:7" x14ac:dyDescent="0.2">
      <c r="A139" s="35" t="str">
        <f t="shared" si="19"/>
        <v/>
      </c>
      <c r="D139" s="6" t="str">
        <f t="shared" si="20"/>
        <v/>
      </c>
      <c r="E139" s="34" t="str">
        <f t="shared" si="21"/>
        <v/>
      </c>
      <c r="G139" s="6" t="str">
        <f t="shared" si="18"/>
        <v/>
      </c>
    </row>
    <row r="140" spans="1:7" x14ac:dyDescent="0.2">
      <c r="A140" s="35" t="str">
        <f t="shared" si="19"/>
        <v/>
      </c>
      <c r="D140" s="6" t="str">
        <f t="shared" si="20"/>
        <v/>
      </c>
      <c r="E140" s="34" t="str">
        <f t="shared" si="21"/>
        <v/>
      </c>
      <c r="G140" s="6" t="str">
        <f t="shared" si="18"/>
        <v/>
      </c>
    </row>
    <row r="141" spans="1:7" x14ac:dyDescent="0.2">
      <c r="A141" s="35" t="str">
        <f t="shared" si="19"/>
        <v/>
      </c>
      <c r="D141" s="6" t="str">
        <f t="shared" si="20"/>
        <v/>
      </c>
      <c r="E141" s="34" t="str">
        <f t="shared" si="21"/>
        <v/>
      </c>
      <c r="G141" s="6" t="str">
        <f t="shared" si="18"/>
        <v/>
      </c>
    </row>
    <row r="142" spans="1:7" x14ac:dyDescent="0.2">
      <c r="A142" s="35" t="str">
        <f t="shared" si="19"/>
        <v/>
      </c>
      <c r="D142" s="6" t="str">
        <f t="shared" si="20"/>
        <v/>
      </c>
      <c r="E142" s="34" t="str">
        <f t="shared" si="21"/>
        <v/>
      </c>
      <c r="G142" s="6" t="str">
        <f t="shared" si="18"/>
        <v/>
      </c>
    </row>
    <row r="143" spans="1:7" x14ac:dyDescent="0.2">
      <c r="A143" s="35" t="str">
        <f t="shared" si="19"/>
        <v/>
      </c>
      <c r="D143" s="6" t="str">
        <f t="shared" si="20"/>
        <v/>
      </c>
      <c r="E143" s="34" t="str">
        <f t="shared" si="21"/>
        <v/>
      </c>
      <c r="G143" s="6" t="str">
        <f t="shared" si="18"/>
        <v/>
      </c>
    </row>
  </sheetData>
  <mergeCells count="19">
    <mergeCell ref="H4:H6"/>
    <mergeCell ref="D1:E1"/>
    <mergeCell ref="H29:H33"/>
    <mergeCell ref="A93:G93"/>
    <mergeCell ref="A1:B1"/>
    <mergeCell ref="A2:B2"/>
    <mergeCell ref="A7:A8"/>
    <mergeCell ref="E5:E6"/>
    <mergeCell ref="G5:G6"/>
    <mergeCell ref="C4:F4"/>
    <mergeCell ref="C5:C6"/>
    <mergeCell ref="F5:F6"/>
    <mergeCell ref="E80:G80"/>
    <mergeCell ref="E57:G57"/>
    <mergeCell ref="E58:G58"/>
    <mergeCell ref="E59:G59"/>
    <mergeCell ref="E53:G53"/>
    <mergeCell ref="E78:G78"/>
    <mergeCell ref="E60:G60"/>
  </mergeCells>
  <conditionalFormatting sqref="G4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55:G56 G6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94:G143 G62:G64 G54 G50:G52 G66:G77 G79 G81:G92 G9:G48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94:G1048576 G61:G77 G54:G56 G79 G81:G92 G5:G5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Michelangelo Stempeck</dc:creator>
  <cp:lastModifiedBy>Seth Welton</cp:lastModifiedBy>
  <dcterms:created xsi:type="dcterms:W3CDTF">2024-10-10T19:17:31Z</dcterms:created>
  <dcterms:modified xsi:type="dcterms:W3CDTF">2024-12-02T09:05:37Z</dcterms:modified>
</cp:coreProperties>
</file>